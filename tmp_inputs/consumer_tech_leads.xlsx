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行业视角" sheetId="1" state="visible" r:id="rId1"/>
    <sheet xmlns:r="http://schemas.openxmlformats.org/officeDocument/2006/relationships" name="数据测算说明" sheetId="2" state="visible" r:id="rId2"/>
    <sheet xmlns:r="http://schemas.openxmlformats.org/officeDocument/2006/relationships" name="信源说明" sheetId="3" state="visible" r:id="rId3"/>
    <sheet xmlns:r="http://schemas.openxmlformats.org/officeDocument/2006/relationships" name="重点关注客户" sheetId="4" state="visible" r:id="rId4"/>
  </sheets>
  <definedNames>
    <definedName name="_xlnm._FilterDatabase" localSheetId="3" hidden="1">'重点关注客户'!$A$1:$K$57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1">
    <font>
      <name val="Calibri"/>
      <family val="2"/>
      <color theme="1"/>
      <sz val="10"/>
      <scheme val="minor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微软雅黑"/>
      <family val="2"/>
      <b val="1"/>
      <color rgb="FFFFFFFF"/>
      <sz val="11"/>
    </font>
    <font>
      <name val="微软雅黑"/>
      <family val="2"/>
      <b val="1"/>
      <color rgb="FF0F172A"/>
      <sz val="14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DC2626"/>
      <sz val="10"/>
    </font>
  </fonts>
  <fills count="13">
    <fill>
      <patternFill/>
    </fill>
    <fill>
      <patternFill patternType="gray125"/>
    </fill>
    <fill>
      <patternFill patternType="solid">
        <fgColor rgb="FFFEF3C7"/>
      </patternFill>
    </fill>
    <fill>
      <patternFill patternType="solid">
        <fgColor rgb="FF1E40AF"/>
      </patternFill>
    </fill>
    <fill>
      <patternFill patternType="solid">
        <fgColor rgb="FF1E40AF"/>
      </patternFill>
    </fill>
    <fill>
      <patternFill patternType="solid">
        <fgColor rgb="FF1E40AF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E40AF"/>
        <bgColor rgb="001E40AF"/>
      </patternFill>
    </fill>
  </fills>
  <borders count="24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/>
      <right/>
      <top style="medium">
        <color rgb="FF95B3D7"/>
      </top>
      <bottom style="medium">
        <color rgb="FF95B3D7"/>
      </bottom>
      <diagonal/>
    </border>
    <border>
      <left/>
      <right style="medium">
        <color rgb="FF95B3D7"/>
      </right>
      <top style="medium">
        <color rgb="FF95B3D7"/>
      </top>
      <bottom style="medium">
        <color rgb="FF95B3D7"/>
      </bottom>
      <diagonal/>
    </border>
    <border>
      <left style="medium">
        <color rgb="FF95B3D7"/>
      </left>
      <right/>
      <top style="medium">
        <color rgb="FF95B3D7"/>
      </top>
      <bottom style="medium">
        <color rgb="FF95B3D7"/>
      </bottom>
      <diagonal/>
    </border>
    <border>
      <left/>
      <right/>
      <top style="medium">
        <color rgb="FF95B3D7"/>
      </top>
      <bottom style="medium">
        <color rgb="FF95B3D7"/>
      </bottom>
      <diagonal/>
    </border>
    <border>
      <left/>
      <right style="medium">
        <color rgb="FF95B3D7"/>
      </right>
      <top style="medium">
        <color rgb="FF95B3D7"/>
      </top>
      <bottom style="medium">
        <color rgb="FF95B3D7"/>
      </bottom>
      <diagonal/>
    </border>
    <border>
      <left style="medium">
        <color rgb="FF95B3D7"/>
      </left>
      <right/>
      <top style="medium">
        <color rgb="FF95B3D7"/>
      </top>
      <bottom style="medium">
        <color rgb="FF95B3D7"/>
      </bottom>
      <diagonal/>
    </border>
    <border>
      <left/>
      <right/>
      <top style="medium">
        <color rgb="FF95B3D7"/>
      </top>
      <bottom style="medium">
        <color rgb="FF95B3D7"/>
      </bottom>
      <diagonal/>
    </border>
    <border>
      <left/>
      <right style="medium">
        <color rgb="FF95B3D7"/>
      </right>
      <top style="medium">
        <color rgb="FF95B3D7"/>
      </top>
      <bottom style="medium">
        <color rgb="FF95B3D7"/>
      </bottom>
      <diagonal/>
    </border>
    <border>
      <left style="medium">
        <color rgb="FF95B3D7"/>
      </left>
      <right/>
      <top style="medium">
        <color rgb="FF95B3D7"/>
      </top>
      <bottom style="medium">
        <color rgb="FF95B3D7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8"/>
  </cellStyleXfs>
  <cellXfs count="3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/>
    </xf>
    <xf numFmtId="10" fontId="1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bottom"/>
    </xf>
    <xf numFmtId="0" fontId="1" fillId="2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/>
    </xf>
    <xf numFmtId="0" fontId="3" fillId="4" borderId="11" applyAlignment="1" pivotButton="0" quotePrefix="0" xfId="0">
      <alignment horizontal="left" vertical="top"/>
    </xf>
    <xf numFmtId="0" fontId="3" fillId="5" borderId="12" applyAlignment="1" pivotButton="0" quotePrefix="0" xfId="0">
      <alignment horizontal="left" vertical="top" wrapText="1"/>
    </xf>
    <xf numFmtId="164" fontId="1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vertical="center" wrapText="1"/>
    </xf>
    <xf numFmtId="0" fontId="6" fillId="0" borderId="1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6" borderId="17" applyAlignment="1" pivotButton="0" quotePrefix="0" xfId="0">
      <alignment vertical="center" wrapText="1"/>
    </xf>
    <xf numFmtId="0" fontId="6" fillId="7" borderId="18" applyAlignment="1" pivotButton="0" quotePrefix="0" xfId="0">
      <alignment vertical="center" wrapText="1"/>
    </xf>
    <xf numFmtId="0" fontId="6" fillId="8" borderId="19" applyAlignment="1" pivotButton="0" quotePrefix="0" xfId="0">
      <alignment vertical="center" wrapText="1"/>
    </xf>
    <xf numFmtId="0" fontId="7" fillId="9" borderId="20" applyAlignment="1" pivotButton="0" quotePrefix="0" xfId="0">
      <alignment horizontal="center" vertical="center"/>
    </xf>
    <xf numFmtId="0" fontId="7" fillId="10" borderId="21" applyAlignment="1" pivotButton="0" quotePrefix="0" xfId="0">
      <alignment horizontal="center" vertical="center"/>
    </xf>
    <xf numFmtId="0" fontId="7" fillId="11" borderId="2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0" fontId="1" fillId="0" borderId="3" applyAlignment="1" pivotButton="0" quotePrefix="0" xfId="0">
      <alignment horizontal="center" vertical="center"/>
    </xf>
    <xf numFmtId="164" fontId="1" fillId="0" borderId="13" applyAlignment="1" pivotButton="0" quotePrefix="0" xfId="0">
      <alignment horizontal="left" vertical="top" wrapText="1"/>
    </xf>
    <xf numFmtId="0" fontId="0" fillId="0" borderId="0" pivotButton="0" quotePrefix="0" xfId="0"/>
    <xf numFmtId="0" fontId="8" fillId="12" borderId="23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23" applyAlignment="1" pivotButton="0" quotePrefix="0" xfId="0">
      <alignment vertical="top" wrapText="1"/>
    </xf>
    <xf numFmtId="0" fontId="10" fillId="0" borderId="2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://Amazon.com" TargetMode="External" Id="rId1"/><Relationship Type="http://schemas.openxmlformats.org/officeDocument/2006/relationships/hyperlink" Target="http://Amazon.co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fcom.gov.cn/zcfb/zhzc/art/2026/art_7e1dc12697b744fd89e6110673ac117c.html" TargetMode="External" Id="rId1"/><Relationship Type="http://schemas.openxmlformats.org/officeDocument/2006/relationships/hyperlink" Target="https://www.nda.gov.cn/sjj/zwgk/zcfb/0112/20260107214358696030895_pc.html" TargetMode="External" Id="rId2"/><Relationship Type="http://schemas.openxmlformats.org/officeDocument/2006/relationships/hyperlink" Target="https://www.scio.gov.cn/live/2026/38374/qwxz/202604/P020260422356376818002.pdf" TargetMode="External" Id="rId3"/><Relationship Type="http://schemas.openxmlformats.org/officeDocument/2006/relationships/hyperlink" Target="https://www.prnewswire.com/news-releases/aiper-announces-strategic-partnership-with-pool--hot-tub-alliance-at-the-pool--spa-show-2026-302669992.html" TargetMode="External" Id="rId4"/><Relationship Type="http://schemas.openxmlformats.org/officeDocument/2006/relationships/hyperlink" Target="https://en.prnasia.com/releases/apac/as-homes-get-smarter-new-global-research-names-aiper-as-the-world-s-no-1-smart-robotic-pool-cleaner-brand-530066.shtml" TargetMode="External" Id="rId5"/><Relationship Type="http://schemas.openxmlformats.org/officeDocument/2006/relationships/hyperlink" Target="https://www.prnewswire.com/apac/news-releases/anker-innovations-showcases-iconic-lineup-of-charging-smart-home-and-entertainment-devices-during-ces-2026-302653788.html" TargetMode="External" Id="rId6"/><Relationship Type="http://schemas.openxmlformats.org/officeDocument/2006/relationships/hyperlink" Target="https://www.prnewswire.com/news-releases/baseus-powers-up-ces-2026-with-full-range-innovations-302652099.html" TargetMode="External" Id="rId7"/><Relationship Type="http://schemas.openxmlformats.org/officeDocument/2006/relationships/hyperlink" Target="https://pressreleasehub.pa.media/article/baseus-security-brings-kickstarter-success-x1-pro-smart-ai-dual-tracking-security-camera-to-amazon-67358.html" TargetMode="External" Id="rId8"/><Relationship Type="http://schemas.openxmlformats.org/officeDocument/2006/relationships/hyperlink" Target="https://sg.finance.yahoo.com/news/idea-print-creality-sparkx-i7-000000612.html" TargetMode="External" Id="rId9"/><Relationship Type="http://schemas.openxmlformats.org/officeDocument/2006/relationships/hyperlink" Target="https://www.prnewswire.com/news-releases/dji-showcases-best-in-class-creator-tools-at-nab-2026-302740271.html" TargetMode="External" Id="rId10"/><Relationship Type="http://schemas.openxmlformats.org/officeDocument/2006/relationships/hyperlink" Target="https://www.prnewswire.com/news-releases/dreame-technology-to-unveil-its-whole-home-smart-ecosystem-of-breakthrough-technologies-at-ces-2026-with-all-dreams-in-one-dreame-vision-302654456.html" TargetMode="External" Id="rId11"/><Relationship Type="http://schemas.openxmlformats.org/officeDocument/2006/relationships/hyperlink" Target="https://www.prnewswire.com/news-releases/dreame-technology-to-unveil-its-whole-home-smart-ecosystem-of-breakthrough-technologies-at-ces-2026-with-all-dreams-in-one-dreame-vision-302654456.html" TargetMode="External" Id="rId12"/><Relationship Type="http://schemas.openxmlformats.org/officeDocument/2006/relationships/hyperlink" Target="https://www.prnewswire.com/news-releases/dreame-wraps-up-a-successful-ces-showcase-sweeping-over-50-awards-and-debuting-its-visionary-whole-home-smart-ecosystem-302661394.html" TargetMode="External" Id="rId13"/><Relationship Type="http://schemas.openxmlformats.org/officeDocument/2006/relationships/hyperlink" Target="https://www.prnewswire.com/apac/news-releases/dreame-debuts-ai-powered-whole-home-smart-ecosystem-at-ces-2026-earning-multiple-industry-awards-302663062.html" TargetMode="External" Id="rId14"/><Relationship Type="http://schemas.openxmlformats.org/officeDocument/2006/relationships/hyperlink" Target="https://www.prnewswire.com/news-releases/dreame-unveils-beyond-smart-home-ecosystem-in-silicon-valley-showcasing-a-future-of-robotic-autonomy-and-ai-powered-living-302670608.html" TargetMode="External" Id="rId15"/><Relationship Type="http://schemas.openxmlformats.org/officeDocument/2006/relationships/hyperlink" Target="https://sg.finance.yahoo.com/news/dreame-launches-ultimate-roboticmower-ces-100600855.html" TargetMode="External" Id="rId16"/><Relationship Type="http://schemas.openxmlformats.org/officeDocument/2006/relationships/hyperlink" Target="https://en.prnasia.com/releases/apac/dreame-robot-laundry-s-latest-products-make-a-splash-at-ces-2026-518241.shtml" TargetMode="External" Id="rId17"/><Relationship Type="http://schemas.openxmlformats.org/officeDocument/2006/relationships/hyperlink" Target="https://www.prnewswire.com/news-releases/ecovacs-showcases-its-acceleration-towards-full-scenario-service-robotics-at-ces-2026-302653595.html" TargetMode="External" Id="rId18"/><Relationship Type="http://schemas.openxmlformats.org/officeDocument/2006/relationships/hyperlink" Target="https://www.prnewswire.com/news-releases/ecovacs-gains-further-international-recognition-as-a-service-robotics-leader-winning-three-gtb-awards-at-ces-2026-302658344.html" TargetMode="External" Id="rId19"/><Relationship Type="http://schemas.openxmlformats.org/officeDocument/2006/relationships/hyperlink" Target="https://www.prnewswire.com/news-releases/elegoo-to-launch-multicolor-3d-printer-centauri-carbon-2-combo-on-january-26-302664343.html" TargetMode="External" Id="rId20"/><Relationship Type="http://schemas.openxmlformats.org/officeDocument/2006/relationships/hyperlink" Target="https://pressreleasehub.pa.media/article/elegoo-launches-centauri-carbon-2-combo-a-family-friendly-multicolor-3d-printer-64833.html" TargetMode="External" Id="rId21"/><Relationship Type="http://schemas.openxmlformats.org/officeDocument/2006/relationships/hyperlink" Target="https://en.prnasia.com/releases/global/elegoo-announces-jupiter-2-global-launch-and-debuts-the-multicolor-system-for-centauri-carbon-at-rapid-tct-2026-529391.shtml" TargetMode="External" Id="rId22"/><Relationship Type="http://schemas.openxmlformats.org/officeDocument/2006/relationships/hyperlink" Target="https://www.prnewswire.com/apac/news-releases/anker-innovations-showcases-iconic-lineup-of-charging-smart-home-and-entertainment-devices-during-ces-2026-302653788.html" TargetMode="External" Id="rId23"/><Relationship Type="http://schemas.openxmlformats.org/officeDocument/2006/relationships/hyperlink" Target="https://www.prnewswire.com/news-releases/insta360-previews-new-luna-series-and-major-updates-at-nab-show-2026-302746651.html" TargetMode="External" Id="rId24"/><Relationship Type="http://schemas.openxmlformats.org/officeDocument/2006/relationships/hyperlink" Target="https://www.prnewswire.com/news-releases/laifen-unveils-new-cutting-edge-personal-care-innovations-at-ces-302653217.html" TargetMode="External" Id="rId25"/><Relationship Type="http://schemas.openxmlformats.org/officeDocument/2006/relationships/hyperlink" Target="https://www.eqs-news.com/news/corporate-news/reolink-reveals-new-ai-box-and-flagship-24-mp-triple-lens-security-camera-at-ces-2026/5dac6197-d849-4ad2-95e6-32060d443a67_en" TargetMode="External" Id="rId26"/><Relationship Type="http://schemas.openxmlformats.org/officeDocument/2006/relationships/hyperlink" Target="https://www.prnewswire.com/news-releases/reolink-launches-trackflex-floodlight-wifi-with-360-degree-coverage-302669821.html" TargetMode="External" Id="rId27"/><Relationship Type="http://schemas.openxmlformats.org/officeDocument/2006/relationships/hyperlink" Target="https://www.prnewswire.com/news-releases/ces-2026-roborock-releases-the-worlds-first-robotic-vacuum-with-wheel-leg-architecture-as-it-joins-hands-with-real-madrid-football-club-302658186.html" TargetMode="External" Id="rId28"/><Relationship Type="http://schemas.openxmlformats.org/officeDocument/2006/relationships/hyperlink" Target="https://www.newswire.ca/news-releases/roborock-launches-saros-20-in-north-america-engineered-for-complex-high-end-homes-and-real-world-ai-cleaning-302714269.html" TargetMode="External" Id="rId29"/><Relationship Type="http://schemas.openxmlformats.org/officeDocument/2006/relationships/hyperlink" Target="https://www.prnewswire.com/apac/news-releases/roborock-brings-its-ces-2026-headline-launches-to-australia-302727299.html" TargetMode="External" Id="rId30"/><Relationship Type="http://schemas.openxmlformats.org/officeDocument/2006/relationships/hyperlink" Target="https://sg.finance.yahoo.com/news/ces-2026-roborock-releases-worlds-054500301.html" TargetMode="External" Id="rId31"/><Relationship Type="http://schemas.openxmlformats.org/officeDocument/2006/relationships/hyperlink" Target="https://www.taiwannews.com.tw/news/6319016" TargetMode="External" Id="rId32"/><Relationship Type="http://schemas.openxmlformats.org/officeDocument/2006/relationships/hyperlink" Target="https://www.prnewswire.com/news-releases/rokid-previews-ai-glasses-style-ahead-of-ces-2026-302649916.html" TargetMode="External" Id="rId33"/><Relationship Type="http://schemas.openxmlformats.org/officeDocument/2006/relationships/hyperlink" Target="https://www.prnewswire.com/news-releases/shokz-earns-multiple-2026-ces-innovation-awards-and-previews-whats-next-for-open-ear-audio-at-ces-2026-302652756.html" TargetMode="External" Id="rId34"/><Relationship Type="http://schemas.openxmlformats.org/officeDocument/2006/relationships/hyperlink" Target="https://finance.yahoo.com/news/shokz-introduces-openfit-pro-era-190000742.html" TargetMode="External" Id="rId35"/><Relationship Type="http://schemas.openxmlformats.org/officeDocument/2006/relationships/hyperlink" Target="https://www.prnewswire.com/apac/news-releases/anker-innovations-showcases-iconic-lineup-of-charging-smart-home-and-entertainment-devices-during-ces-2026-302653788.html" TargetMode="External" Id="rId36"/><Relationship Type="http://schemas.openxmlformats.org/officeDocument/2006/relationships/hyperlink" Target="https://www.prnewswire.com/news-releases/tineco-debuts-modern-living-concept-and-latest-smart-cleaning-portfolio-at-ces-2026-302642003.html" TargetMode="External" Id="rId37"/><Relationship Type="http://schemas.openxmlformats.org/officeDocument/2006/relationships/hyperlink" Target="https://www.prnewswire.com/news-releases/tineco-debuts-modern-living-concept-and-latest-smart-cleaning-portfolio-at-ces-2026-302642003.html" TargetMode="External" Id="rId38"/><Relationship Type="http://schemas.openxmlformats.org/officeDocument/2006/relationships/hyperlink" Target="https://www.prnewswire.com/news-releases/tinecos-modern-living-vision-earns-global-media-recognition-at-ces-2026-302657790.html" TargetMode="External" Id="rId39"/><Relationship Type="http://schemas.openxmlformats.org/officeDocument/2006/relationships/hyperlink" Target="https://www.newswire.ca/news-releases/tineco-launches-floor-one-s9-artist-steam-in-canada-302664704.html" TargetMode="External" Id="rId40"/><Relationship Type="http://schemas.openxmlformats.org/officeDocument/2006/relationships/hyperlink" Target="https://www.prnewswire.com/news-releases/tineco-elevates-modern-living-with-a-smarter-more-balanced-floor-care-portfolio-302671067.html" TargetMode="External" Id="rId41"/><Relationship Type="http://schemas.openxmlformats.org/officeDocument/2006/relationships/hyperlink" Target="https://www.prnewswire.com/news-releases/ugreen-debuts-new-smart-ecosystem-at-ces-2026-led-by-ai-nas-302651304.html" TargetMode="External" Id="rId42"/><Relationship Type="http://schemas.openxmlformats.org/officeDocument/2006/relationships/hyperlink" Target="https://www.prnewswire.com/news-releases/ugreen-unveils-ai-nas-ecosystem-at-ces-2026-spotlighting-smart-storages-future-302657703.html" TargetMode="External" Id="rId43"/><Relationship Type="http://schemas.openxmlformats.org/officeDocument/2006/relationships/hyperlink" Target="https://www.ugreen.com/en-gb/blogs/news/ugreen-debuts-new-smart-ecosystem-at-ces-2026-led-by-ai-nas" TargetMode="External" Id="rId44"/><Relationship Type="http://schemas.openxmlformats.org/officeDocument/2006/relationships/hyperlink" Target="https://www.prnewswire.com/news-releases/ulike-hosts-glow-state-of-mind-wellness-events-across-santa-monica-and-new-york-302754299.html" TargetMode="External" Id="rId45"/><Relationship Type="http://schemas.openxmlformats.org/officeDocument/2006/relationships/hyperlink" Target="https://www.manilatimes.net/2026/03/10/tmt-newswire/pr-newswire/ulike-spring-dare-to-glow-celebrating-confident-and-aspirational-women/2296248" TargetMode="External" Id="rId46"/><Relationship Type="http://schemas.openxmlformats.org/officeDocument/2006/relationships/hyperlink" Target="https://gxt.fujian.gov.cn/zwgk/xw/hydt/xydt/202605/t20260518_7149229.htm" TargetMode="External" Id="rId47"/><Relationship Type="http://schemas.openxmlformats.org/officeDocument/2006/relationships/hyperlink" Target="https://aiper.com/us/aiper-ces-2026" TargetMode="External" Id="rId48"/><Relationship Type="http://schemas.openxmlformats.org/officeDocument/2006/relationships/hyperlink" Target="https://www.amazfit.com/" TargetMode="External" Id="rId49"/><Relationship Type="http://schemas.openxmlformats.org/officeDocument/2006/relationships/hyperlink" Target="https://www.huffingtonpost.es/tecnologia/anker-presenta-mwc-cargadores-inteligentes-paso-frente-robotica-domestica-f202603.html" TargetMode="External" Id="rId50"/><Relationship Type="http://schemas.openxmlformats.org/officeDocument/2006/relationships/hyperlink" Target="https://store.anycubic.com/" TargetMode="External" Id="rId51"/><Relationship Type="http://schemas.openxmlformats.org/officeDocument/2006/relationships/hyperlink" Target="https://www.aosulife.com/" TargetMode="External" Id="rId52"/><Relationship Type="http://schemas.openxmlformats.org/officeDocument/2006/relationships/hyperlink" Target="https://www.aqara.com/us/" TargetMode="External" Id="rId53"/><Relationship Type="http://schemas.openxmlformats.org/officeDocument/2006/relationships/hyperlink" Target="https://www.autel.com/" TargetMode="External" Id="rId54"/><Relationship Type="http://schemas.openxmlformats.org/officeDocument/2006/relationships/hyperlink" Target="https://bambulab.com/" TargetMode="External" Id="rId55"/><Relationship Type="http://schemas.openxmlformats.org/officeDocument/2006/relationships/hyperlink" Target="https://www.baseus.com/pages/security-x1-pro" TargetMode="External" Id="rId56"/><Relationship Type="http://schemas.openxmlformats.org/officeDocument/2006/relationships/hyperlink" Target="https://www.baseus.com/" TargetMode="External" Id="rId57"/><Relationship Type="http://schemas.openxmlformats.org/officeDocument/2006/relationships/hyperlink" Target="https://shop.boox.com/" TargetMode="External" Id="rId58"/><Relationship Type="http://schemas.openxmlformats.org/officeDocument/2006/relationships/hyperlink" Target="https://cosori.com/" TargetMode="External" Id="rId59"/><Relationship Type="http://schemas.openxmlformats.org/officeDocument/2006/relationships/hyperlink" Target="https://www.creality.com/" TargetMode="External" Id="rId60"/><Relationship Type="http://schemas.openxmlformats.org/officeDocument/2006/relationships/hyperlink" Target="https://www.thailand-business-news.com/pr-news/creality-shines-at-tct-2026-with-next-gen-smart-creation-ecosystem" TargetMode="External" Id="rId61"/><Relationship Type="http://schemas.openxmlformats.org/officeDocument/2006/relationships/hyperlink" Target="https://www.edifier.com/" TargetMode="External" Id="rId62"/><Relationship Type="http://schemas.openxmlformats.org/officeDocument/2006/relationships/hyperlink" Target="https://www.elegoo.com/" TargetMode="External" Id="rId63"/><Relationship Type="http://schemas.openxmlformats.org/officeDocument/2006/relationships/hyperlink" Target="https://www.tomshardware.com/3d-printing/elegoos-centauri-carbon-2-combo-budget-3d-printer-is-now-available-brings-four-color-printing-to-an-accessible-price-point" TargetMode="External" Id="rId64"/><Relationship Type="http://schemas.openxmlformats.org/officeDocument/2006/relationships/hyperlink" Target="https://www.huffingtonpost.es/tecnologia/anker-presenta-mwc-cargadores-inteligentes-paso-frente-robotica-domestica-f202603.html" TargetMode="External" Id="rId65"/><Relationship Type="http://schemas.openxmlformats.org/officeDocument/2006/relationships/hyperlink" Target="https://www.flashforge.com/" TargetMode="External" Id="rId66"/><Relationship Type="http://schemas.openxmlformats.org/officeDocument/2006/relationships/hyperlink" Target="https://fosiaudio.com/" TargetMode="External" Id="rId67"/><Relationship Type="http://schemas.openxmlformats.org/officeDocument/2006/relationships/hyperlink" Target="https://www.gl-inet.com/" TargetMode="External" Id="rId68"/><Relationship Type="http://schemas.openxmlformats.org/officeDocument/2006/relationships/hyperlink" Target="https://us.govee.com/" TargetMode="External" Id="rId69"/><Relationship Type="http://schemas.openxmlformats.org/officeDocument/2006/relationships/hyperlink" Target="https://www.theverge.com/tech/853006/govee-sky-ceiling-light-ultra-specs" TargetMode="External" Id="rId70"/><Relationship Type="http://schemas.openxmlformats.org/officeDocument/2006/relationships/hyperlink" Target="https://cincodias.elpais.com/smartlife/gadgets/2026-01-11/govee-amplia-su-ecosistema-de-iluminacion-inteligente-con-nuevas-lamparas-compatibles-con-matter.html" TargetMode="External" Id="rId71"/><Relationship Type="http://schemas.openxmlformats.org/officeDocument/2006/relationships/hyperlink" Target="https://us.govee.com/blogs/product-review-blog/ces-2026-tech" TargetMode="External" Id="rId72"/><Relationship Type="http://schemas.openxmlformats.org/officeDocument/2006/relationships/hyperlink" Target="https://www.hellobaby-monitor.com/" TargetMode="External" Id="rId73"/><Relationship Type="http://schemas.openxmlformats.org/officeDocument/2006/relationships/hyperlink" Target="https://www.hisense-usa.com/" TargetMode="External" Id="rId74"/><Relationship Type="http://schemas.openxmlformats.org/officeDocument/2006/relationships/hyperlink" Target="https://global.iflytek.com/" TargetMode="External" Id="rId75"/><Relationship Type="http://schemas.openxmlformats.org/officeDocument/2006/relationships/hyperlink" Target="https://www.insta360.com/" TargetMode="External" Id="rId76"/><Relationship Type="http://schemas.openxmlformats.org/officeDocument/2006/relationships/hyperlink" Target="https://www.insta360.com/blog/insta360-at-CES-2026.html" TargetMode="External" Id="rId77"/><Relationship Type="http://schemas.openxmlformats.org/officeDocument/2006/relationships/hyperlink" Target="https://www.theverge.com/tech/929125/insta360-360-go-3s-retro-bundle-viewfinder-accessory" TargetMode="External" Id="rId78"/><Relationship Type="http://schemas.openxmlformats.org/officeDocument/2006/relationships/hyperlink" Target="https://www.techradar.com/cameras/action-cameras/insta360-reveals-one-of-the-wackiest-camera-kits-for-2026-its-thumb-sized-4k-camera-with-no-screen-and-a-waist-level-optical-viewfinder" TargetMode="External" Id="rId79"/><Relationship Type="http://schemas.openxmlformats.org/officeDocument/2006/relationships/hyperlink" Target="https://jisulife.com/" TargetMode="External" Id="rId80"/><Relationship Type="http://schemas.openxmlformats.org/officeDocument/2006/relationships/hyperlink" Target="https://www.thedailybeast.com/the-future-of-hot-hair-tools-straight-from-ces-2026/" TargetMode="External" Id="rId81"/><Relationship Type="http://schemas.openxmlformats.org/officeDocument/2006/relationships/hyperlink" Target="https://nypost.com/2026/01/08/shopping/laifen-is-elevating-your-getting-ready-routine-with-newness-at-ces/" TargetMode="External" Id="rId82"/><Relationship Type="http://schemas.openxmlformats.org/officeDocument/2006/relationships/hyperlink" Target="https://nypost.com/2026/04/03/shopping/hidden-coupon-shop-this-hair-dryer-for-less-than-100/" TargetMode="External" Id="rId83"/><Relationship Type="http://schemas.openxmlformats.org/officeDocument/2006/relationships/hyperlink" Target="https://www.lenovo.com/us/en/" TargetMode="External" Id="rId84"/><Relationship Type="http://schemas.openxmlformats.org/officeDocument/2006/relationships/hyperlink" Target="https://levoit.com/" TargetMode="External" Id="rId85"/><Relationship Type="http://schemas.openxmlformats.org/officeDocument/2006/relationships/hyperlink" Target="https://www.lexar.com/" TargetMode="External" Id="rId86"/><Relationship Type="http://schemas.openxmlformats.org/officeDocument/2006/relationships/hyperlink" Target="https://www.midea.com/us/" TargetMode="External" Id="rId87"/><Relationship Type="http://schemas.openxmlformats.org/officeDocument/2006/relationships/hyperlink" Target="https://momcozy.com/" TargetMode="External" Id="rId88"/><Relationship Type="http://schemas.openxmlformats.org/officeDocument/2006/relationships/hyperlink" Target="https://www.dreametech.com/" TargetMode="External" Id="rId89"/><Relationship Type="http://schemas.openxmlformats.org/officeDocument/2006/relationships/hyperlink" Target="https://munbyn.com/" TargetMode="External" Id="rId90"/><Relationship Type="http://schemas.openxmlformats.org/officeDocument/2006/relationships/hyperlink" Target="https://www.narwal.com/" TargetMode="External" Id="rId91"/><Relationship Type="http://schemas.openxmlformats.org/officeDocument/2006/relationships/hyperlink" Target="https://www.niimbot.com/" TargetMode="External" Id="rId92"/><Relationship Type="http://schemas.openxmlformats.org/officeDocument/2006/relationships/hyperlink" Target="https://www.olightstore.com/" TargetMode="External" Id="rId93"/><Relationship Type="http://schemas.openxmlformats.org/officeDocument/2006/relationships/hyperlink" Target="https://phomemo.com/" TargetMode="External" Id="rId94"/><Relationship Type="http://schemas.openxmlformats.org/officeDocument/2006/relationships/hyperlink" Target="https://reolink.com/" TargetMode="External" Id="rId95"/><Relationship Type="http://schemas.openxmlformats.org/officeDocument/2006/relationships/hyperlink" Target="https://reolink.com/product/trackflex-floodlight-wifi/" TargetMode="External" Id="rId96"/><Relationship Type="http://schemas.openxmlformats.org/officeDocument/2006/relationships/hyperlink" Target="https://shokz.com/blogs/news/new-open-earbuds-openfit-pro" TargetMode="External" Id="rId97"/><Relationship Type="http://schemas.openxmlformats.org/officeDocument/2006/relationships/hyperlink" Target="https://shokz.com/blogs/news/shokz-at-ces-2026" TargetMode="External" Id="rId98"/><Relationship Type="http://schemas.openxmlformats.org/officeDocument/2006/relationships/hyperlink" Target="https://www.whathifi.com/headphones/wireless-earbuds/anker-claims-its-latest-pair-of-wireless-earbuds-are-the-first-of-their-kind" TargetMode="External" Id="rId99"/><Relationship Type="http://schemas.openxmlformats.org/officeDocument/2006/relationships/hyperlink" Target="https://www.sunlu.com/" TargetMode="External" Id="rId100"/><Relationship Type="http://schemas.openxmlformats.org/officeDocument/2006/relationships/hyperlink" Target="https://www.tcl.com/us/en" TargetMode="External" Id="rId101"/><Relationship Type="http://schemas.openxmlformats.org/officeDocument/2006/relationships/hyperlink" Target="https://tessan.com/" TargetMode="External" Id="rId102"/><Relationship Type="http://schemas.openxmlformats.org/officeDocument/2006/relationships/hyperlink" Target="https://www.topdon.com/" TargetMode="External" Id="rId103"/><Relationship Type="http://schemas.openxmlformats.org/officeDocument/2006/relationships/hyperlink" Target="https://tymobeauty.com/" TargetMode="External" Id="rId104"/><Relationship Type="http://schemas.openxmlformats.org/officeDocument/2006/relationships/hyperlink" Target="https://tymobeauty.com/blogs/the-latest/blow-dryer-for-curly-hair-what-to-look-for-in-2026" TargetMode="External" Id="rId105"/><Relationship Type="http://schemas.openxmlformats.org/officeDocument/2006/relationships/hyperlink" Target="https://www.ugreen.com/en-ae/blogs/news/ugreen-debuts-new-smart-ecosystem-at-ces-2026-led-by-ai-nas" TargetMode="External" Id="rId106"/><Relationship Type="http://schemas.openxmlformats.org/officeDocument/2006/relationships/hyperlink" Target="https://nascompares.com/tag/ugreen-nas-2026/" TargetMode="External" Id="rId107"/><Relationship Type="http://schemas.openxmlformats.org/officeDocument/2006/relationships/hyperlink" Target="https://www.ulike.com/blogs/hair-removal/best-ipl-device-for-beginners-in-2026-easy-first-picks" TargetMode="External" Id="rId108"/><Relationship Type="http://schemas.openxmlformats.org/officeDocument/2006/relationships/hyperlink" Target="https://www.vevor.com/" TargetMode="External" Id="rId109"/><Relationship Type="http://schemas.openxmlformats.org/officeDocument/2006/relationships/hyperlink" Target="https://www.waterdropfilter.com/" TargetMode="External" Id="rId110"/><Relationship Type="http://schemas.openxmlformats.org/officeDocument/2006/relationships/hyperlink" Target="https://www.idc.com/resource-center/blog/the-future-of-smart-glasses-was-on-full-display-at-ces-2026/" TargetMode="External" Id="rId11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40"/>
  <sheetViews>
    <sheetView showGridLines="1" tabSelected="1" workbookViewId="0">
      <selection activeCell="A1" sqref="A1"/>
    </sheetView>
  </sheetViews>
  <sheetFormatPr baseColWidth="8" defaultColWidth="14" defaultRowHeight="19"/>
  <cols>
    <col width="8" customWidth="1" style="26" min="1" max="1"/>
    <col width="5" customWidth="1" style="26" min="2" max="2"/>
    <col width="18" customWidth="1" style="26" min="3" max="3"/>
    <col width="7" customWidth="1" style="26" min="4" max="4"/>
    <col width="8" customWidth="1" style="26" min="5" max="5"/>
    <col width="12" customWidth="1" style="26" min="6" max="6"/>
    <col width="12" customWidth="1" style="26" min="7" max="7"/>
    <col width="16" customWidth="1" style="26" min="8" max="8"/>
    <col width="8" customWidth="1" style="26" min="9" max="9"/>
    <col width="97" customWidth="1" style="26" min="10" max="10"/>
    <col width="172" customWidth="1" style="26" min="11" max="11"/>
    <col width="14" customWidth="1" style="26" min="12" max="12"/>
    <col width="14" customWidth="1" style="26" min="13" max="13"/>
    <col width="14" customWidth="1" style="26" min="14" max="14"/>
    <col width="14" customWidth="1" style="26" min="15" max="15"/>
    <col width="14" customWidth="1" style="26" min="16" max="16"/>
    <col width="14" customWidth="1" style="26" min="17" max="17"/>
    <col width="14" customWidth="1" style="26" min="18" max="18"/>
    <col width="14" customWidth="1" style="26" min="19" max="19"/>
    <col width="14" customWidth="1" style="26" min="20" max="20"/>
  </cols>
  <sheetData>
    <row r="1">
      <c r="A1" s="23" t="inlineStr">
        <is>
          <t>3C科技类客户拓客地图 · 美国 · 38个一级行业</t>
        </is>
      </c>
    </row>
    <row r="2">
      <c r="A2" s="6" t="inlineStr">
        <is>
          <t>行业分类</t>
        </is>
      </c>
      <c r="B2" s="6" t="inlineStr">
        <is>
          <t>国家</t>
        </is>
      </c>
      <c r="C2" s="6" t="inlineStr">
        <is>
          <t>一级行业</t>
        </is>
      </c>
      <c r="D2" s="6" t="inlineStr">
        <is>
          <t>热度值</t>
        </is>
      </c>
      <c r="E2" s="6" t="inlineStr">
        <is>
          <t>年GMV</t>
        </is>
      </c>
      <c r="F2" s="6" t="inlineStr">
        <is>
          <t>月环比MoM</t>
        </is>
      </c>
      <c r="G2" s="6" t="inlineStr">
        <is>
          <t>年复合增长率</t>
        </is>
      </c>
      <c r="H2" s="6" t="inlineStr">
        <is>
          <t>CN品牌GMV占比</t>
        </is>
      </c>
      <c r="I2" s="6" t="inlineStr">
        <is>
          <t>子类目数</t>
        </is>
      </c>
      <c r="J2" s="6" t="inlineStr">
        <is>
          <t>热点子品类</t>
        </is>
      </c>
      <c r="K2" s="6" t="inlineStr">
        <is>
          <t>Top10中国玩家</t>
        </is>
      </c>
      <c r="L2" s="4" t="n"/>
      <c r="M2" s="4" t="n"/>
      <c r="N2" s="4" t="n"/>
    </row>
    <row r="3">
      <c r="A3" s="1" t="inlineStr">
        <is>
          <t>3C</t>
        </is>
      </c>
      <c r="B3" s="1" t="inlineStr">
        <is>
          <t>美国</t>
        </is>
      </c>
      <c r="C3" s="1" t="inlineStr">
        <is>
          <t>电子配件和用品</t>
        </is>
      </c>
      <c r="D3" s="5" t="n">
        <v>0.83</v>
      </c>
      <c r="E3" s="2" t="inlineStr">
        <is>
          <t>$7.70B</t>
        </is>
      </c>
      <c r="F3" s="2">
        <f>+3.9%</f>
        <v/>
      </c>
      <c r="G3" s="24" t="n">
        <v>1.597</v>
      </c>
      <c r="H3" s="24" t="n">
        <v>0.448</v>
      </c>
      <c r="I3" s="2" t="n">
        <v>53</v>
      </c>
      <c r="J3" s="1" t="inlineStr">
        <is>
          <t>手机屏幕保护器 | 手机壁装充电器 | 喷墨打印机墨盒 | 打印机碳粉盒 | 电子书阅读器和附件</t>
        </is>
      </c>
      <c r="K3" s="1" t="inlineStr">
        <is>
          <t>Anker($301.1M) | Ailun($70.5M) | NEW’C($48.4M) | ESR($47.8M) | DJI($32.9M) | charmast($31.4M) | INIU($30.5M) | MAGIC JOHN($27.6M) | LISEN($27.5M) | UNBREAKcable($25.5M)</t>
        </is>
      </c>
      <c r="L3" s="4" t="n"/>
      <c r="M3" s="4" t="n"/>
      <c r="N3" s="4" t="n"/>
    </row>
    <row r="4">
      <c r="A4" s="1" t="inlineStr">
        <is>
          <t>3C</t>
        </is>
      </c>
      <c r="B4" s="1" t="inlineStr">
        <is>
          <t>美国</t>
        </is>
      </c>
      <c r="C4" s="1" t="inlineStr">
        <is>
          <t>手机和配件</t>
        </is>
      </c>
      <c r="D4" s="5" t="n">
        <v>0.66</v>
      </c>
      <c r="E4" s="2" t="inlineStr">
        <is>
          <t>$5.62B</t>
        </is>
      </c>
      <c r="F4" s="2">
        <f>+3.5%</f>
        <v/>
      </c>
      <c r="G4" s="24" t="n">
        <v>1.751</v>
      </c>
      <c r="H4" s="24" t="n">
        <v>0.576</v>
      </c>
      <c r="I4" s="2" t="n">
        <v>53</v>
      </c>
      <c r="J4" s="1" t="inlineStr">
        <is>
          <t>耳塞和入耳式耳机 | 耳机外壳 | 手机壁装充电器 | 手机便携式充电宝 | 便携式蓝牙扬声器 | 便携式线路输入扬声器</t>
        </is>
      </c>
      <c r="K4" s="1" t="inlineStr">
        <is>
          <t>Anker($277.7M) | Soundcore($157.9M) | Ailun($70.5M) | ESR($64.8M) | NEW’C($48.4M) | DJI($32.4M) | charmast($32.0M) | MAGIC JOHN($30.9M) | INIU($30.6M) | Miracase($28.1M)</t>
        </is>
      </c>
      <c r="L4" s="4" t="n"/>
      <c r="M4" s="4" t="n"/>
      <c r="N4" s="4" t="n"/>
    </row>
    <row r="5">
      <c r="A5" s="1" t="inlineStr">
        <is>
          <t>3C</t>
        </is>
      </c>
      <c r="B5" s="1" t="inlineStr">
        <is>
          <t>美国</t>
        </is>
      </c>
      <c r="C5" s="1" t="inlineStr">
        <is>
          <t>计算机配件和外围设备</t>
        </is>
      </c>
      <c r="D5" s="5" t="n">
        <v>0.55</v>
      </c>
      <c r="E5" s="2" t="inlineStr">
        <is>
          <t>$3.96B</t>
        </is>
      </c>
      <c r="F5" s="2">
        <f>+4.2%</f>
        <v/>
      </c>
      <c r="G5" s="24" t="n">
        <v>1.797</v>
      </c>
      <c r="H5" s="24" t="n">
        <v>0.268</v>
      </c>
      <c r="I5" s="2" t="n">
        <v>66</v>
      </c>
      <c r="J5" s="1" t="inlineStr">
        <is>
          <t>喷墨打印机墨盒 | 打印机碳粉盒 | PC游戏键盘 | PC游戏鼠标 | USB电缆 | 防雷电缆</t>
        </is>
      </c>
      <c r="K5" s="1" t="inlineStr">
        <is>
          <t>WOLFBOX($32.7M) | Redragon($25.5M) | AULA($24.5M) | TRUE IMAGE($19.1M) | Cool Toner($17.3M) | Highwings($15.0M) | Lexar($14.6M) | Ankink($14.2M) | Skyink($13.8M) | Relcolor($13.4M)</t>
        </is>
      </c>
      <c r="L5" s="4" t="n"/>
      <c r="M5" s="4" t="n"/>
      <c r="N5" s="4" t="n"/>
    </row>
    <row r="6">
      <c r="A6" s="1" t="inlineStr">
        <is>
          <t>3C</t>
        </is>
      </c>
      <c r="B6" s="1" t="inlineStr">
        <is>
          <t>美国</t>
        </is>
      </c>
      <c r="C6" s="1" t="inlineStr">
        <is>
          <t>真空吸尘器和地板护理</t>
        </is>
      </c>
      <c r="D6" s="5" t="n">
        <v>0.54</v>
      </c>
      <c r="E6" s="2" t="inlineStr">
        <is>
          <t>$3.46B</t>
        </is>
      </c>
      <c r="F6" s="2">
        <f>+5%</f>
        <v/>
      </c>
      <c r="G6" s="2" t="inlineStr">
        <is>
          <t>N/A</t>
        </is>
      </c>
      <c r="H6" s="24" t="n">
        <v>0.39</v>
      </c>
      <c r="I6" s="2" t="n">
        <v>14</v>
      </c>
      <c r="J6" s="1" t="inlineStr">
        <is>
          <t>棒式真空吸尘器和电动扫帚 | 手持式真空吸尘器 | 地毯和家具清洁机 | 地毯和家具清洁机配件 | 真空附件 | 更换立式真空过滤器</t>
        </is>
      </c>
      <c r="K6" s="1" t="inlineStr">
        <is>
          <t>roborock($242.6M) | Eureka($102.6M) | eufy($72.5M) | ECOVACS($57.4M) | Tineco($50.4M) | DREAME($47.1M) | Tikom($22.8M) | Fanttik($21.5M) | NARWAL($20.1M) | Mova($17.3M)</t>
        </is>
      </c>
      <c r="L6" s="4" t="n"/>
      <c r="M6" s="4" t="n"/>
      <c r="N6" s="4" t="n"/>
    </row>
    <row r="7">
      <c r="A7" s="1" t="inlineStr">
        <is>
          <t>3C</t>
        </is>
      </c>
      <c r="B7" s="1" t="inlineStr">
        <is>
          <t>美国</t>
        </is>
      </c>
      <c r="C7" s="1" t="inlineStr">
        <is>
          <t>办公电子产品</t>
        </is>
      </c>
      <c r="D7" s="5" t="n">
        <v>0.49</v>
      </c>
      <c r="E7" s="2" t="inlineStr">
        <is>
          <t>$3.80B</t>
        </is>
      </c>
      <c r="F7" s="2">
        <f>+3%</f>
        <v/>
      </c>
      <c r="G7" s="24" t="n">
        <v>0.406</v>
      </c>
      <c r="H7" s="24" t="n">
        <v>0.221</v>
      </c>
      <c r="I7" s="2" t="n">
        <v>39</v>
      </c>
      <c r="J7" s="1" t="inlineStr">
        <is>
          <t>喷墨打印机墨盒 | 打印机碳粉盒 | 桌面标签打印机 | 便携式热敏打印机 | 碎纸机 | 标签制造商</t>
        </is>
      </c>
      <c r="K7" s="1" t="inlineStr">
        <is>
          <t>bonsaii($35.8M) | Cool Toner($26.8M) | Liene($26.4M) | TRUE IMAGE($20.2M) | Phomemo($19.9M) | Ankink($15.2M) | NIIMBOT($14.6M) | Skyink($14.2M) | Ubinki($13.8M) | Relcolor($13.6M)</t>
        </is>
      </c>
      <c r="L7" s="4" t="n"/>
      <c r="M7" s="4" t="n"/>
      <c r="N7" s="4" t="n"/>
    </row>
    <row r="8">
      <c r="A8" s="1" t="inlineStr">
        <is>
          <t>3C</t>
        </is>
      </c>
      <c r="B8" s="1" t="inlineStr">
        <is>
          <t>美国</t>
        </is>
      </c>
      <c r="C8" s="1" t="inlineStr">
        <is>
          <t>安全与安保</t>
        </is>
      </c>
      <c r="D8" s="5" t="n">
        <v>0.49</v>
      </c>
      <c r="E8" s="2" t="inlineStr">
        <is>
          <t>$3.05B</t>
        </is>
      </c>
      <c r="F8" s="2">
        <f>+4.4%</f>
        <v/>
      </c>
      <c r="G8" s="24" t="n">
        <v>1.183</v>
      </c>
      <c r="H8" s="24" t="n">
        <v>0.474</v>
      </c>
      <c r="I8" s="2" t="n">
        <v>84</v>
      </c>
      <c r="J8" s="1" t="inlineStr">
        <is>
          <t>耳塞 | 安全工作手套 | 子弹监控摄像头 | 圆顶监控摄像头 | 安全与安保 | 安全和监控设备</t>
        </is>
      </c>
      <c r="K8" s="1" t="inlineStr">
        <is>
          <t>Blink($246.2M) | OLIGHT($60.1M) | REOLINK($59.2M) | WYZE($43.4M) | aosu($40.4M) | FEATOL($23.9M) | Babelio($20.5M) | vmaisi($17.3M) | BILLCONCH($15.9M) | NICGOL($11.0M)</t>
        </is>
      </c>
      <c r="L8" s="4" t="n"/>
      <c r="M8" s="4" t="n"/>
      <c r="N8" s="4" t="n"/>
    </row>
    <row r="9">
      <c r="A9" s="1" t="inlineStr">
        <is>
          <t>3C</t>
        </is>
      </c>
      <c r="B9" s="1" t="inlineStr">
        <is>
          <t>美国</t>
        </is>
      </c>
      <c r="C9" s="1" t="inlineStr">
        <is>
          <t>笔记本电脑</t>
        </is>
      </c>
      <c r="D9" s="5" t="n">
        <v>0.47</v>
      </c>
      <c r="E9" s="2" t="inlineStr">
        <is>
          <t>$2.22B</t>
        </is>
      </c>
      <c r="F9" s="2">
        <f>+5.7%</f>
        <v/>
      </c>
      <c r="G9" s="24" t="n">
        <v>8.597</v>
      </c>
      <c r="H9" s="24" t="n">
        <v>0.127</v>
      </c>
      <c r="I9" s="2" t="n">
        <v>9</v>
      </c>
      <c r="J9" s="1" t="inlineStr">
        <is>
          <t>传统笔记本电脑 | 更新的笔记本电脑 | -- | 二合一笔记本电脑 | 更新的平板电脑</t>
        </is>
      </c>
      <c r="K9" s="1" t="inlineStr">
        <is>
          <t>Lenovo($210.1M) | Auusda($3.0M) | KAIGERR($1.8M) | KOOFORWAY($1.2M) | MALLRACE($1.0M) | Coolby($0.9M) | CHUWI($0.8M) | BLUEING($0.8M) | QAZIPO($0.7M) | GEEKOM($0.7M)</t>
        </is>
      </c>
      <c r="L9" s="4" t="n"/>
      <c r="M9" s="4" t="n"/>
      <c r="N9" s="4" t="n"/>
    </row>
    <row r="10">
      <c r="A10" s="1" t="inlineStr">
        <is>
          <t>3C</t>
        </is>
      </c>
      <c r="B10" s="1" t="inlineStr">
        <is>
          <t>美国</t>
        </is>
      </c>
      <c r="C10" s="1" t="inlineStr">
        <is>
          <t>监控和安全摄像头</t>
        </is>
      </c>
      <c r="D10" s="5" t="n">
        <v>0.45</v>
      </c>
      <c r="E10" s="2" t="inlineStr">
        <is>
          <t>$0.66B</t>
        </is>
      </c>
      <c r="F10" s="2">
        <f>+8.6%</f>
        <v/>
      </c>
      <c r="G10" s="24" t="n">
        <v>70.279</v>
      </c>
      <c r="H10" s="24" t="n">
        <v>0.191</v>
      </c>
      <c r="I10" s="2" t="n">
        <v>20</v>
      </c>
      <c r="J10" s="1" t="inlineStr">
        <is>
          <t>其他 | 子弹监控摄像头 | 更新的相机和照片 | 圆顶监控摄像头 | 更新的相机和照片</t>
        </is>
      </c>
      <c r="K10" s="1" t="inlineStr">
        <is>
          <t>aosu($35.6M) | SOLIOM($3.7M) | AOQEE($3.1M) | Cinnado($2.9M) | ARCCTV($2.5M) | ZOSI($2.4M) | blurams($2.3M) | Aqara($2.2M) | ANSQUE($1.9M) | Hiseeu($1.8M)</t>
        </is>
      </c>
      <c r="L10" s="4" t="n"/>
      <c r="M10" s="4" t="n"/>
      <c r="N10" s="4" t="n"/>
    </row>
    <row r="11">
      <c r="A11" s="1" t="inlineStr">
        <is>
          <t>3C</t>
        </is>
      </c>
      <c r="B11" s="1" t="inlineStr">
        <is>
          <t>美国</t>
        </is>
      </c>
      <c r="C11" s="1" t="inlineStr">
        <is>
          <t>厨房小家电</t>
        </is>
      </c>
      <c r="D11" s="5" t="n">
        <v>0.44</v>
      </c>
      <c r="E11" s="2" t="inlineStr">
        <is>
          <t>$4.28B</t>
        </is>
      </c>
      <c r="F11" s="2">
        <f>+0.5%</f>
        <v/>
      </c>
      <c r="G11" s="24" t="n">
        <v>0.185</v>
      </c>
      <c r="H11" s="24" t="n">
        <v>0.159</v>
      </c>
      <c r="I11" s="2" t="n">
        <v>65</v>
      </c>
      <c r="J11" s="1" t="inlineStr">
        <is>
          <t>咖啡机 | 单杯啤酒 | 手动搅拌机 | 台面搅拌机 | 真空封口机 | 真空密封袋</t>
        </is>
      </c>
      <c r="K11" s="1" t="inlineStr">
        <is>
          <t>COSORI($74.4M) | Ganiza($20.3M) | VEVOR($12.1M) | Midea($11.1M) | KitchekShop($10.4M) | Wevac($9.5M) | Upstreman($9.3M) | KBS($9.1M) | CUSIMAX($8.3M) | YPONE($7.2M)</t>
        </is>
      </c>
      <c r="L11" s="4" t="n"/>
      <c r="M11" s="4" t="n"/>
      <c r="N11" s="4" t="n"/>
    </row>
    <row r="12">
      <c r="A12" s="1" t="inlineStr">
        <is>
          <t>3C</t>
        </is>
      </c>
      <c r="B12" s="1" t="inlineStr">
        <is>
          <t>美国</t>
        </is>
      </c>
      <c r="C12" s="1" t="inlineStr">
        <is>
          <t>电动工具和手动工具</t>
        </is>
      </c>
      <c r="D12" s="5" t="n">
        <v>0.44</v>
      </c>
      <c r="E12" s="2" t="inlineStr">
        <is>
          <t>$2.29B</t>
        </is>
      </c>
      <c r="F12" s="2">
        <f>+4.7%</f>
        <v/>
      </c>
      <c r="G12" s="24" t="n">
        <v>0.437</v>
      </c>
      <c r="H12" s="24" t="n">
        <v>0.435</v>
      </c>
      <c r="I12" s="2" t="n">
        <v>93</v>
      </c>
      <c r="J12" s="1" t="inlineStr">
        <is>
          <t>无绳工具电池组 | 动力砂光机钩环盘 | 套接字集 | 多用途刀具 | 电钻驱动器 | 电动旋转工具</t>
        </is>
      </c>
      <c r="K12" s="1" t="inlineStr">
        <is>
          <t>Tineco($78.6M) | WORKPRO($38.4M) | VEVOR($32.6M) | Fanttik($22.1M) | WEN($20.3M) | NEIKO($15.0M) | DREAME($12.0M) | DURATECH($11.4M) | SEDY($9.8M) | HORUSDY($8.0M)</t>
        </is>
      </c>
      <c r="L12" s="4" t="n"/>
      <c r="M12" s="4" t="n"/>
      <c r="N12" s="4" t="n"/>
    </row>
    <row r="13">
      <c r="A13" s="1" t="inlineStr">
        <is>
          <t>3C</t>
        </is>
      </c>
      <c r="B13" s="1" t="inlineStr">
        <is>
          <t>美国</t>
        </is>
      </c>
      <c r="C13" s="1" t="inlineStr">
        <is>
          <t>加热、冷却和空气质量</t>
        </is>
      </c>
      <c r="D13" s="5" t="n">
        <v>0.41</v>
      </c>
      <c r="E13" s="2" t="inlineStr">
        <is>
          <t>$4.03B</t>
        </is>
      </c>
      <c r="F13" s="2">
        <f>+0.2%</f>
        <v/>
      </c>
      <c r="G13" s="24" t="n">
        <v>0.403</v>
      </c>
      <c r="H13" s="24" t="n">
        <v>0.319</v>
      </c>
      <c r="I13" s="2" t="n">
        <v>38</v>
      </c>
      <c r="J13" s="1" t="inlineStr">
        <is>
          <t>HEPA过滤器空气净化器 | 家用空气电离器 | 个人风扇 | 台式风扇 | 便携式空调 | 窗式空调</t>
        </is>
      </c>
      <c r="K13" s="1" t="inlineStr">
        <is>
          <t>Midea($89.8M) | Shark($63.1M) | Lasko($52.4M) | Levoit($46.6M) | JISULIFE($37.5M) | ROVSUN($24.5M) | Hisense($23.5M) | isinlive($20.0M) | Cabiclean($17.2M) | ALORAIR($16.7M)</t>
        </is>
      </c>
      <c r="L13" s="4" t="n"/>
      <c r="M13" s="4" t="n"/>
      <c r="N13" s="4" t="n"/>
    </row>
    <row r="14">
      <c r="A14" s="1" t="inlineStr">
        <is>
          <t>3C</t>
        </is>
      </c>
      <c r="B14" s="1" t="inlineStr">
        <is>
          <t>美国</t>
        </is>
      </c>
      <c r="C14" s="1" t="inlineStr">
        <is>
          <t>耳机和耳机</t>
        </is>
      </c>
      <c r="D14" s="5" t="n">
        <v>0.4</v>
      </c>
      <c r="E14" s="2" t="inlineStr">
        <is>
          <t>$2.12B</t>
        </is>
      </c>
      <c r="F14" s="2">
        <f>+4.1%</f>
        <v/>
      </c>
      <c r="G14" s="24" t="n">
        <v>1.208</v>
      </c>
      <c r="H14" s="24" t="n">
        <v>0.208</v>
      </c>
      <c r="I14" s="2" t="n">
        <v>19</v>
      </c>
      <c r="J14" s="1" t="inlineStr">
        <is>
          <t>耳塞和入耳式耳机 | 睡眠耳塞 | 耳塞式耳机 | 录音耳机音频监视器 | 其他</t>
        </is>
      </c>
      <c r="K14" s="1" t="inlineStr">
        <is>
          <t>TOZO($23.6M) | Linsoul($13.9M) | EarFun($9.6M) | MUSICOZY($6.3M) | BERIBES($6.1M) | Baseus($5.5M) | TAGRY($4.9M) | BESNOOW($4.6M) | kurdene($4.3M) | PocBuds($4.2M)</t>
        </is>
      </c>
      <c r="L14" s="4" t="n"/>
      <c r="M14" s="4" t="n"/>
      <c r="N14" s="4" t="n"/>
    </row>
    <row r="15">
      <c r="A15" s="1" t="inlineStr">
        <is>
          <t>3C</t>
        </is>
      </c>
      <c r="B15" s="1" t="inlineStr">
        <is>
          <t>美国</t>
        </is>
      </c>
      <c r="C15" s="1" t="inlineStr">
        <is>
          <t>便携式音频和视频</t>
        </is>
      </c>
      <c r="D15" s="5" t="n">
        <v>0.4</v>
      </c>
      <c r="E15" s="2" t="inlineStr">
        <is>
          <t>$2.33B</t>
        </is>
      </c>
      <c r="F15" s="2">
        <f>+3.6%</f>
        <v/>
      </c>
      <c r="G15" s="24" t="n">
        <v>1.157</v>
      </c>
      <c r="H15" s="24" t="n">
        <v>0.5610000000000001</v>
      </c>
      <c r="I15" s="2" t="n">
        <v>29</v>
      </c>
      <c r="J15" s="1" t="inlineStr">
        <is>
          <t>手机壁装充电器 | 手机便携式充电宝 | 便携式蓝牙扬声器 | 便携式线路输入扬声器 | 手机汽车支架 | 立体声插孔电缆</t>
        </is>
      </c>
      <c r="K15" s="1" t="inlineStr">
        <is>
          <t>charmast($32.7M) | VRURC($26.6M) | INIU($26.5M) | LISEN($15.8M) | DiHines($14.3M) | VEGER($13.7M) | ANDERY($13.1M) | Novobit($12.7M) | Baseus($12.4M) | Retevis($12.2M)</t>
        </is>
      </c>
      <c r="L15" s="4" t="n"/>
      <c r="M15" s="4" t="n"/>
      <c r="N15" s="4" t="n"/>
    </row>
    <row r="16">
      <c r="A16" s="1" t="inlineStr">
        <is>
          <t>3C</t>
        </is>
      </c>
      <c r="B16" s="1" t="inlineStr">
        <is>
          <t>美国</t>
        </is>
      </c>
      <c r="C16" s="1" t="inlineStr">
        <is>
          <t>穿戴式科技</t>
        </is>
      </c>
      <c r="D16" s="5" t="n">
        <v>0.39</v>
      </c>
      <c r="E16" s="2" t="inlineStr">
        <is>
          <t>$1.88B</t>
        </is>
      </c>
      <c r="F16" s="2">
        <f>+4.1%</f>
        <v/>
      </c>
      <c r="G16" s="24" t="n">
        <v>2.663</v>
      </c>
      <c r="H16" s="24" t="n">
        <v>0.381</v>
      </c>
      <c r="I16" s="2" t="n">
        <v>37</v>
      </c>
      <c r="J16" s="1" t="inlineStr">
        <is>
          <t>智能手表 | 手表表带 | 智能手表表带 | 智能手表数据线和充电器 | 耳机 | 配件</t>
        </is>
      </c>
      <c r="K16" s="1" t="inlineStr">
        <is>
          <t>RingConn($121.1M) | Amazfit($31.1M) | Misxi($14.7M) | xiwxi($8.8M) | amBand($7.7M) | OhO sunshine($7.6M) | Goton($7.6M) | BIGGERFIVE($5.3M) | Suitisbest($5.1M) | Fitpolo($4.5M)</t>
        </is>
      </c>
      <c r="L16" s="4" t="n"/>
      <c r="M16" s="4" t="n"/>
      <c r="N16" s="4" t="n"/>
    </row>
    <row r="17">
      <c r="A17" s="1" t="inlineStr">
        <is>
          <t>3C</t>
        </is>
      </c>
      <c r="B17" s="1" t="inlineStr">
        <is>
          <t>美国</t>
        </is>
      </c>
      <c r="C17" s="1" t="inlineStr">
        <is>
          <t>照明和吊扇</t>
        </is>
      </c>
      <c r="D17" s="5" t="n">
        <v>0.36</v>
      </c>
      <c r="E17" s="2" t="inlineStr">
        <is>
          <t>$2.40B</t>
        </is>
      </c>
      <c r="F17" s="2">
        <f>+2.3%</f>
        <v/>
      </c>
      <c r="G17" s="2" t="inlineStr">
        <is>
          <t>N/A</t>
        </is>
      </c>
      <c r="H17" s="24" t="n">
        <v>0.868</v>
      </c>
      <c r="I17" s="2" t="n">
        <v>24</v>
      </c>
      <c r="J17" s="1" t="inlineStr">
        <is>
          <t>户外串灯 | 景观路径灯 | 台灯 | 落地灯 | LED条形灯 | 无焰蜡烛</t>
        </is>
      </c>
      <c r="K17" s="1" t="inlineStr">
        <is>
          <t>Govee($150.8M) | Amico($46.6M) | Homemory($27.1M) | EZVALO($23.7M) | Gritin($20.8M) | MCGOR($18.9M) | addlon($18.1M) | Ensenior($16.6M) | Brightown($16.3M) | L LOHAS LED($15.9M)</t>
        </is>
      </c>
      <c r="L17" s="4" t="n"/>
      <c r="M17" s="4" t="n"/>
      <c r="N17" s="4" t="n"/>
    </row>
    <row r="18">
      <c r="A18" s="1" t="inlineStr">
        <is>
          <t>3C</t>
        </is>
      </c>
      <c r="B18" s="1" t="inlineStr">
        <is>
          <t>美国</t>
        </is>
      </c>
      <c r="C18" s="1" t="inlineStr">
        <is>
          <t>电视和视频产品</t>
        </is>
      </c>
      <c r="D18" s="5" t="n">
        <v>0.36</v>
      </c>
      <c r="E18" s="2" t="inlineStr">
        <is>
          <t>$2.22B</t>
        </is>
      </c>
      <c r="F18" s="2">
        <f>+2.5%</f>
        <v/>
      </c>
      <c r="G18" s="24" t="n">
        <v>2.778</v>
      </c>
      <c r="H18" s="24" t="n">
        <v>0.374</v>
      </c>
      <c r="I18" s="2" t="n">
        <v>42</v>
      </c>
      <c r="J18" s="1" t="inlineStr">
        <is>
          <t>LED和LCD电视 | QLED电视 | USB电缆 | 遥控器 | 流媒体播放器</t>
        </is>
      </c>
      <c r="K18" s="1" t="inlineStr">
        <is>
          <t>TCL($120.5M) | Hisense($105.1M) | Anker($30.3M) | USX MOUNT($23.9M) | Mounting Dream($19.7M) | Highwings($12.8M) | ApoloSign($9.3M) | UGREEN($9.0M) | SYLVOX($8.2M) | USX STAR($8.0M)</t>
        </is>
      </c>
      <c r="L18" s="4" t="n"/>
      <c r="M18" s="4" t="n"/>
      <c r="N18" s="4" t="n"/>
    </row>
    <row r="19">
      <c r="A19" s="1" t="inlineStr">
        <is>
          <t>3C</t>
        </is>
      </c>
      <c r="B19" s="1" t="inlineStr">
        <is>
          <t>美国</t>
        </is>
      </c>
      <c r="C19" s="1" t="inlineStr">
        <is>
          <t>汽车工具和设备</t>
        </is>
      </c>
      <c r="D19" s="5" t="n">
        <v>0.33</v>
      </c>
      <c r="E19" s="2" t="inlineStr">
        <is>
          <t>$2.15B</t>
        </is>
      </c>
      <c r="F19" s="2">
        <f>+2.1%</f>
        <v/>
      </c>
      <c r="G19" s="24" t="n">
        <v>0.592</v>
      </c>
      <c r="H19" s="24" t="n">
        <v>0.468</v>
      </c>
      <c r="I19" s="2" t="n">
        <v>73</v>
      </c>
      <c r="J19" s="1" t="inlineStr">
        <is>
          <t>跳跃起动器 | 电池充电器 | 黄油枪 | 手动燃油泵 | 代码读取器和扫描工具 | 电路测试器</t>
        </is>
      </c>
      <c r="K19" s="1" t="inlineStr">
        <is>
          <t>Orion Motor Tech($30.7M) | TOPDON($25.3M) | ARCCAPTAIN($23.8M) | WOLFBOX($23.2M) | GOOLOO($22.2M) | ANCEL($21.8M) | YESWELDER($21.4M) | Autel($17.7M) | BELTTT($12.4M) | ETENWOLF($10.6M)</t>
        </is>
      </c>
      <c r="L19" s="4" t="n"/>
      <c r="M19" s="4" t="n"/>
      <c r="N19" s="4" t="n"/>
    </row>
    <row r="20">
      <c r="A20" s="1" t="inlineStr">
        <is>
          <t>3C</t>
        </is>
      </c>
      <c r="B20" s="1" t="inlineStr">
        <is>
          <t>美国</t>
        </is>
      </c>
      <c r="C20" s="1" t="inlineStr">
        <is>
          <t>家用电器</t>
        </is>
      </c>
      <c r="D20" s="5" t="n">
        <v>0.32</v>
      </c>
      <c r="E20" s="2" t="inlineStr">
        <is>
          <t>$2.17B</t>
        </is>
      </c>
      <c r="F20" s="2">
        <f>+1.6%</f>
        <v/>
      </c>
      <c r="G20" s="24" t="n">
        <v>0.276</v>
      </c>
      <c r="H20" s="24" t="n">
        <v>0.414</v>
      </c>
      <c r="I20" s="2" t="n">
        <v>37</v>
      </c>
      <c r="J20" s="1" t="inlineStr">
        <is>
          <t>一次性咖啡过滤器 | 干燥器更换零件 | 冰箱水过滤器 | 真空附件 | 更换立式真空过滤器</t>
        </is>
      </c>
      <c r="K20" s="1" t="inlineStr">
        <is>
          <t>GLACIER FRESH($24.6M) | isinlive($23.6M) | Cabiclean($16.9M) | vailnd($14.6M) | Funmit($14.1M) | Waterdrop($11.1M) | AMI PARTS($9.7M) | Pulluty($9.0M) | Normcore($8.8M) | iSingo($7.8M)</t>
        </is>
      </c>
      <c r="L20" s="4" t="n"/>
      <c r="M20" s="4" t="n"/>
      <c r="N20" s="4" t="n"/>
    </row>
    <row r="21">
      <c r="A21" s="1" t="inlineStr">
        <is>
          <t>3C</t>
        </is>
      </c>
      <c r="B21" s="1" t="inlineStr">
        <is>
          <t>美国</t>
        </is>
      </c>
      <c r="C21" s="1" t="inlineStr">
        <is>
          <t>电气设备</t>
        </is>
      </c>
      <c r="D21" s="5" t="n">
        <v>0.31</v>
      </c>
      <c r="E21" s="2" t="inlineStr">
        <is>
          <t>$1.82B</t>
        </is>
      </c>
      <c r="F21" s="2">
        <f>+2.1%</f>
        <v/>
      </c>
      <c r="G21" s="24" t="n">
        <v>0.732</v>
      </c>
      <c r="H21" s="24" t="n">
        <v>0.5649999999999999</v>
      </c>
      <c r="I21" s="2" t="n">
        <v>44</v>
      </c>
      <c r="J21" s="1" t="inlineStr">
        <is>
          <t>电源带 | 浪涌保护器 | 视频门铃 | 门铃套件 | 电灯开关 | 电气插座开关</t>
        </is>
      </c>
      <c r="K21" s="1" t="inlineStr">
        <is>
          <t>TESSAN($65.1M) | Amico($44.6M) | Anker($31.5M) | ELEGRP($25.9M) | One Beat($22.5M) | Mifaso($17.5M) | Addtam($15.4M) | DEWENWILS($15.3M) | Ensenior($15.1M) | POWGRN($14.2M)</t>
        </is>
      </c>
      <c r="L21" s="4" t="n"/>
      <c r="M21" s="4" t="n"/>
      <c r="N21" s="4" t="n"/>
    </row>
    <row r="22">
      <c r="A22" s="1" t="inlineStr">
        <is>
          <t>3C</t>
        </is>
      </c>
      <c r="B22" s="1" t="inlineStr">
        <is>
          <t>美国</t>
        </is>
      </c>
      <c r="C22" s="1" t="inlineStr">
        <is>
          <t>相机和照片配件</t>
        </is>
      </c>
      <c r="D22" s="5" t="n">
        <v>0.29</v>
      </c>
      <c r="E22" s="2" t="inlineStr">
        <is>
          <t>$0.96B</t>
        </is>
      </c>
      <c r="F22" s="2">
        <f>+3.5%</f>
        <v/>
      </c>
      <c r="G22" s="2" t="inlineStr">
        <is>
          <t>N/A</t>
        </is>
      </c>
      <c r="H22" s="24" t="n">
        <v>0.5649999999999999</v>
      </c>
      <c r="I22" s="2" t="n">
        <v>49</v>
      </c>
      <c r="J22" s="1" t="inlineStr">
        <is>
          <t>摄影工作室照片背景 | 摄像机支架和夹具 | Micro SD存储卡 | 超级任天堂控制台 | 数字相框</t>
        </is>
      </c>
      <c r="K22" s="1" t="inlineStr">
        <is>
          <t>Lexar($32.8M) | NEEWER($26.8M) | DJI($23.8M) | K&amp;F CONCEPT($21.1M) | SMALLRIG($18.8M) | Pastigio($8.7M) | BIGASUO($8.0M) | Liphisy($7.6M) | Insta360($7.2M) | Wokceer($6.9M)</t>
        </is>
      </c>
      <c r="L22" s="4" t="n"/>
      <c r="M22" s="4" t="n"/>
      <c r="N22" s="4" t="n"/>
    </row>
    <row r="23">
      <c r="A23" s="1" t="inlineStr">
        <is>
          <t>3C</t>
        </is>
      </c>
      <c r="B23" s="1" t="inlineStr">
        <is>
          <t>美国</t>
        </is>
      </c>
      <c r="C23" s="1" t="inlineStr">
        <is>
          <t>电脑平板电脑</t>
        </is>
      </c>
      <c r="D23" s="5" t="n">
        <v>0.27</v>
      </c>
      <c r="E23" s="2" t="inlineStr">
        <is>
          <t>$1.43B</t>
        </is>
      </c>
      <c r="F23" s="2">
        <f>+1.8%</f>
        <v/>
      </c>
      <c r="G23" s="24" t="n">
        <v>2.574</v>
      </c>
      <c r="H23" s="24" t="n">
        <v>0.151</v>
      </c>
      <c r="I23" s="2" t="n">
        <v>4</v>
      </c>
      <c r="J23" s="1" t="inlineStr">
        <is>
          <t>-- | 电脑平板电脑 | 设备护盖</t>
        </is>
      </c>
      <c r="K23" s="1" t="inlineStr">
        <is>
          <t>Lenovo($20.9M) | BOOX($8.8M) | TCL($7.1M) | URAO($6.7M) | iflytek($6.3M) | COLORROOM($4.5M) | PRITOM($2.7M) | TABWEE($2.3M) | CUPEISI($2.3M) | TUOHAITIME($2.2M)</t>
        </is>
      </c>
      <c r="L23" s="4" t="n"/>
      <c r="M23" s="4" t="n"/>
      <c r="N23" s="4" t="n"/>
    </row>
    <row r="24">
      <c r="A24" s="1" t="inlineStr">
        <is>
          <t>3C</t>
        </is>
      </c>
      <c r="B24" s="1" t="inlineStr">
        <is>
          <t>美国</t>
        </is>
      </c>
      <c r="C24" s="1" t="inlineStr">
        <is>
          <t>电子部件</t>
        </is>
      </c>
      <c r="D24" s="5" t="n">
        <v>0.26</v>
      </c>
      <c r="E24" s="2" t="inlineStr">
        <is>
          <t>$1.44B</t>
        </is>
      </c>
      <c r="F24" s="2">
        <f>+1.6%</f>
        <v/>
      </c>
      <c r="G24" s="24" t="n">
        <v>1.052</v>
      </c>
      <c r="H24" s="24" t="n">
        <v>0.642</v>
      </c>
      <c r="I24" s="2" t="n">
        <v>47</v>
      </c>
      <c r="J24" s="1" t="inlineStr">
        <is>
          <t>USB电缆 | 伸缩线 | LED灯泡 | 白炽灯泡 | 焊接热枪 | 烙铁</t>
        </is>
      </c>
      <c r="K24" s="1" t="inlineStr">
        <is>
          <t>Amico($43.2M) | Anker($40.0M) | Govee($21.9M) | Ensenior($15.1M) | POWGRN($14.2M) | ELEGRP($13.4M) | Skrizcable($13.3M) | Highwings($12.8M) | huanchain($12.6M) | TJOY($12.1M)</t>
        </is>
      </c>
      <c r="L24" s="4" t="n"/>
      <c r="M24" s="4" t="n"/>
      <c r="N24" s="4" t="n"/>
    </row>
    <row r="25">
      <c r="A25" s="1" t="inlineStr">
        <is>
          <t>3C</t>
        </is>
      </c>
      <c r="B25" s="1" t="inlineStr">
        <is>
          <t>美国</t>
        </is>
      </c>
      <c r="C25" s="1" t="inlineStr">
        <is>
          <t>计算机网络</t>
        </is>
      </c>
      <c r="D25" s="5" t="n">
        <v>0.26</v>
      </c>
      <c r="E25" s="2" t="inlineStr">
        <is>
          <t>$0.84B</t>
        </is>
      </c>
      <c r="F25" s="2">
        <f>+2.7%</f>
        <v/>
      </c>
      <c r="G25" s="24" t="n">
        <v>0.9330000000000001</v>
      </c>
      <c r="H25" s="24" t="n">
        <v>0.12</v>
      </c>
      <c r="I25" s="2" t="n">
        <v>34</v>
      </c>
      <c r="J25" s="1" t="inlineStr">
        <is>
          <t>整个家庭和网状Wi-Fi系统 | 更新的电脑和配件 | 计算机路由器 | 更新的家庭娱乐 | 其他</t>
        </is>
      </c>
      <c r="K25" s="1" t="inlineStr">
        <is>
          <t>GL.iNet($25.6M) | WAVLINK($3.9M) | BrosTrend($2.3M) | Cudy($2.0M) | GlocalMe($1.8M) | Nineplus($1.6M) | esinkin($1.6M) | UeeVii($1.3M) | RoamFi($1.2M) | uni($1.1M)</t>
        </is>
      </c>
      <c r="L25" s="4" t="n"/>
      <c r="M25" s="4" t="n"/>
      <c r="N25" s="4" t="n"/>
    </row>
    <row r="26">
      <c r="A26" s="1" t="inlineStr">
        <is>
          <t>3C</t>
        </is>
      </c>
      <c r="B26" s="1" t="inlineStr">
        <is>
          <t>美国</t>
        </is>
      </c>
      <c r="C26" s="1" t="inlineStr">
        <is>
          <t>婴儿安全产品</t>
        </is>
      </c>
      <c r="D26" s="5" t="n">
        <v>0.25</v>
      </c>
      <c r="E26" s="2" t="inlineStr">
        <is>
          <t>$0.84B</t>
        </is>
      </c>
      <c r="F26" s="2">
        <f>+2.7%</f>
        <v/>
      </c>
      <c r="G26" s="2" t="inlineStr">
        <is>
          <t>N/A</t>
        </is>
      </c>
      <c r="H26" s="24" t="n">
        <v>0.635</v>
      </c>
      <c r="I26" s="2" t="n">
        <v>32</v>
      </c>
      <c r="J26" s="1" t="inlineStr">
        <is>
          <t>视频婴儿监视器 | 智能婴儿监视器 | 门和楼梯婴儿门 | 婴儿门延伸 | 儿童安全柜锁 | 儿童安全柜背带</t>
        </is>
      </c>
      <c r="K26" s="1" t="inlineStr">
        <is>
          <t>HelloBaby($48.4M) | Regalo($36.9M) | Safety 1st($27.6M) | Babelio($22.2M) | vmaisi($18.1M) | Momcozy($12.0M) | NUTIKAS($7.1M) | COMOMY($6.9M) | Cpzzkq($6.0M) | Miumoon($5.8M)</t>
        </is>
      </c>
      <c r="L26" s="4" t="n"/>
      <c r="M26" s="4" t="n"/>
      <c r="N26" s="4" t="n"/>
    </row>
    <row r="27">
      <c r="A27" s="1" t="inlineStr">
        <is>
          <t>3C</t>
        </is>
      </c>
      <c r="B27" s="1" t="inlineStr">
        <is>
          <t>美国</t>
        </is>
      </c>
      <c r="C27" s="1" t="inlineStr">
        <is>
          <t>电脑打印机</t>
        </is>
      </c>
      <c r="D27" s="5" t="n">
        <v>0.25</v>
      </c>
      <c r="E27" s="2" t="inlineStr">
        <is>
          <t>$1.09B</t>
        </is>
      </c>
      <c r="F27" s="2">
        <f>+2.1%</f>
        <v/>
      </c>
      <c r="G27" s="24" t="n">
        <v>-0.049</v>
      </c>
      <c r="H27" s="24" t="n">
        <v>0.121</v>
      </c>
      <c r="I27" s="2" t="n">
        <v>21</v>
      </c>
      <c r="J27" s="1" t="inlineStr">
        <is>
          <t>墨水罐打印机 | 喷墨电脑打印机 | 激光计算机打印机 | 更新的办公产品 | 桌面标签打印机 | 更新的办公产品</t>
        </is>
      </c>
      <c r="K27" s="1" t="inlineStr">
        <is>
          <t>KODAK($20.3M) | Phomemo($19.9M) | Liene($18.6M) | NIIMBOT($14.3M) | Nelko($12.0M) | Rollo($8.3M) | MUNBYN($7.7M) | Gloryang($6.8M) | JADENS($5.3M) | SUPVAN($4.9M)</t>
        </is>
      </c>
      <c r="L27" s="4" t="n"/>
      <c r="M27" s="4" t="n"/>
      <c r="N27" s="4" t="n"/>
    </row>
    <row r="28">
      <c r="A28" s="1" t="inlineStr">
        <is>
          <t>3C</t>
        </is>
      </c>
      <c r="B28" s="1" t="inlineStr">
        <is>
          <t>美国</t>
        </is>
      </c>
      <c r="C28" s="1" t="inlineStr">
        <is>
          <t>记忆显示和存储</t>
        </is>
      </c>
      <c r="D28" s="5" t="n">
        <v>0.25</v>
      </c>
      <c r="E28" s="2" t="inlineStr">
        <is>
          <t>$0.28B</t>
        </is>
      </c>
      <c r="F28" s="2">
        <f>+3.8%</f>
        <v/>
      </c>
      <c r="G28" s="24" t="n">
        <v>1.875</v>
      </c>
      <c r="H28" s="24" t="n">
        <v>0.73</v>
      </c>
      <c r="I28" s="2" t="n">
        <v>10</v>
      </c>
      <c r="J28" s="1" t="inlineStr">
        <is>
          <t>卡套 | 可收集卡片游戏增强包 | 卡片相簿 | 书架相册 | 可收集的交易卡案例 | 甲板箱</t>
        </is>
      </c>
      <c r="K28" s="1" t="inlineStr">
        <is>
          <t>Arjiekwei($24.5M) | Mlikero($11.8M) | PJU($9.1M) | ZENOWICK($5.2M) | Fabmaker($4.3M) | Kabinka($3.3M) | UAONO($3.0M) | TiopLior($2.4M) | IHEIPYE($2.4M) | JupDec($2.3M)</t>
        </is>
      </c>
      <c r="L28" s="4" t="n"/>
      <c r="M28" s="4" t="n"/>
      <c r="N28" s="4" t="n"/>
    </row>
    <row r="29">
      <c r="A29" s="1" t="inlineStr">
        <is>
          <t>3C</t>
        </is>
      </c>
      <c r="B29" s="1" t="inlineStr">
        <is>
          <t>美国</t>
        </is>
      </c>
      <c r="C29" s="1" t="inlineStr">
        <is>
          <t>家庭音频和剧院产品</t>
        </is>
      </c>
      <c r="D29" s="5" t="n">
        <v>0.25</v>
      </c>
      <c r="E29" s="2" t="inlineStr">
        <is>
          <t>$1.24B</t>
        </is>
      </c>
      <c r="F29" s="2">
        <f>+1.7%</f>
        <v/>
      </c>
      <c r="G29" s="24" t="n">
        <v>1.296</v>
      </c>
      <c r="H29" s="24" t="n">
        <v>0.325</v>
      </c>
      <c r="I29" s="2" t="n">
        <v>29</v>
      </c>
      <c r="J29" s="1" t="inlineStr">
        <is>
          <t>家庭音频声音栏 | 户外扬声器 | 遥控器 | RCA电缆 | 音频和视频转盘 | DJ转盘盒式磁带</t>
        </is>
      </c>
      <c r="K29" s="1" t="inlineStr">
        <is>
          <t>Edifier($16.6M) | Highwings($11.2M) | Fosi Audio($10.8M) | Nettech($7.1M) | ANGELS HORN($6.3M) | Retrolife($5.8M) | Herdio($5.3M) | ANCOON($4.8M) | UGREEN($4.8M) | Philips($4.7M)</t>
        </is>
      </c>
      <c r="L29" s="4" t="n"/>
      <c r="M29" s="4" t="n"/>
      <c r="N29" s="4" t="n"/>
    </row>
    <row r="30">
      <c r="A30" s="1" t="inlineStr">
        <is>
          <t>3C</t>
        </is>
      </c>
      <c r="B30" s="1" t="inlineStr">
        <is>
          <t>美国</t>
        </is>
      </c>
      <c r="C30" s="1" t="inlineStr">
        <is>
          <t>笔记本电脑配件</t>
        </is>
      </c>
      <c r="D30" s="5" t="n">
        <v>0.24</v>
      </c>
      <c r="E30" s="2" t="inlineStr">
        <is>
          <t>$0.73B</t>
        </is>
      </c>
      <c r="F30" s="2">
        <f>+2.6%</f>
        <v/>
      </c>
      <c r="G30" s="24" t="n">
        <v>1.742</v>
      </c>
      <c r="H30" s="24" t="n">
        <v>0.733</v>
      </c>
      <c r="I30" s="2" t="n">
        <v>23</v>
      </c>
      <c r="J30" s="1" t="inlineStr">
        <is>
          <t>笔记本电脑背包 | 笔记本电脑硬壳外壳 | 笔记本电脑扩展底座 | 更新的电脑和配件 | 笔记本电脑充电器和适配器</t>
        </is>
      </c>
      <c r="K30" s="1" t="inlineStr">
        <is>
          <t>Anker($44.5M) | LOVEVOOK($36.3M) | MOSISO($16.0M) | Lenovo($14.7M) | SwissGear($8.7M) | Baseus($7.9M) | Taygeer($7.7M) | MATEIN($7.3M) | UGREEN($7.1M) | Peslv($6.3M)</t>
        </is>
      </c>
      <c r="L30" s="4" t="n"/>
      <c r="M30" s="4" t="n"/>
      <c r="N30" s="4" t="n"/>
    </row>
    <row r="31">
      <c r="A31" s="1" t="inlineStr">
        <is>
          <t>3C</t>
        </is>
      </c>
      <c r="B31" s="1" t="inlineStr">
        <is>
          <t>美国</t>
        </is>
      </c>
      <c r="C31" s="1" t="inlineStr">
        <is>
          <t>造型工具和设备</t>
        </is>
      </c>
      <c r="D31" s="5" t="n">
        <v>0.24</v>
      </c>
      <c r="E31" s="2" t="inlineStr">
        <is>
          <t>$1.61B</t>
        </is>
      </c>
      <c r="F31" s="2">
        <f>+0.7%</f>
        <v/>
      </c>
      <c r="G31" s="24" t="n">
        <v>0.337</v>
      </c>
      <c r="H31" s="24" t="n">
        <v>0.411</v>
      </c>
      <c r="I31" s="2" t="n">
        <v>18</v>
      </c>
      <c r="J31" s="1" t="inlineStr">
        <is>
          <t>直发熨斗 | 卷发器 | 电吹风 | 吹风机扩散器 | 头发多样式器</t>
        </is>
      </c>
      <c r="K31" s="1" t="inlineStr">
        <is>
          <t>TYMO($113.8M) | wavytalk($44.2M) | slopehill($10.0M) | 7MAGIC($6.9M) | CONFU($6.4M) | ANIEKIN($6.0M) | LANVIER($5.1M) | ANNLARY($5.0M) | Laifen($4.8M) | Umeely($4.0M)</t>
        </is>
      </c>
      <c r="L31" s="4" t="n"/>
      <c r="M31" s="4" t="n"/>
      <c r="N31" s="4" t="n"/>
    </row>
    <row r="32">
      <c r="A32" s="1" t="inlineStr">
        <is>
          <t>3C</t>
        </is>
      </c>
      <c r="B32" s="1" t="inlineStr">
        <is>
          <t>美国</t>
        </is>
      </c>
      <c r="C32" s="1" t="inlineStr">
        <is>
          <t>熨烫产品</t>
        </is>
      </c>
      <c r="D32" s="5" t="n">
        <v>0.24</v>
      </c>
      <c r="E32" s="2" t="inlineStr">
        <is>
          <t>$0.47B</t>
        </is>
      </c>
      <c r="F32" s="2">
        <f>+3%</f>
        <v/>
      </c>
      <c r="G32" s="2" t="inlineStr">
        <is>
          <t>N/A</t>
        </is>
      </c>
      <c r="H32" s="24" t="n">
        <v>0.613</v>
      </c>
      <c r="I32" s="2" t="n">
        <v>19</v>
      </c>
      <c r="J32" s="1" t="inlineStr">
        <is>
          <t>服装蒸汽机 | 商用地板清洁机 | 熨斗 | 熨平板 | 量杯</t>
        </is>
      </c>
      <c r="K32" s="1" t="inlineStr">
        <is>
          <t>Rowenta($35.9M) | HiLIFE($35.6M) | Conair($19.4M) | BEAUTURAL($16.8M) | Sundu($13.7M) | OGHom($13.0M) | Jack &amp; Rose($7.5M) | Newbealer($6.2M) | Nesugar($5.7M) | Nexdoo($3.9M)</t>
        </is>
      </c>
      <c r="L32" s="4" t="n"/>
      <c r="M32" s="4" t="n"/>
      <c r="N32" s="4" t="n"/>
    </row>
    <row r="33">
      <c r="A33" s="1" t="inlineStr">
        <is>
          <t>3C</t>
        </is>
      </c>
      <c r="B33" s="1" t="inlineStr">
        <is>
          <t>美国</t>
        </is>
      </c>
      <c r="C33" s="1" t="inlineStr">
        <is>
          <t>计算机显示器</t>
        </is>
      </c>
      <c r="D33" s="5" t="n">
        <v>0.21</v>
      </c>
      <c r="E33" s="2" t="inlineStr">
        <is>
          <t>$1.18B</t>
        </is>
      </c>
      <c r="F33" s="2">
        <f>+0.8%</f>
        <v/>
      </c>
      <c r="G33" s="24" t="n">
        <v>1.375</v>
      </c>
      <c r="H33" s="24" t="n">
        <v>0.253</v>
      </c>
      <c r="I33" s="2" t="n">
        <v>15</v>
      </c>
      <c r="J33" s="1" t="inlineStr">
        <is>
          <t>计算机显示器 | LCD图形显示器 | 电脑平板电脑 | LED和LCD电视</t>
        </is>
      </c>
      <c r="K33" s="1" t="inlineStr">
        <is>
          <t>INNOCN($22.3M) | KYY($20.2M) | KTC($16.3M) | ARZOPA($15.3M) | BenQ($13.8M) | CRUA($12.9M) | KEFEYA($12.0M) | CIDETTY($8.1M) | MNN($7.4M) | InnoView($7.3M)</t>
        </is>
      </c>
      <c r="L33" s="4" t="n"/>
      <c r="M33" s="4" t="n"/>
      <c r="N33" s="4" t="n"/>
    </row>
    <row r="34">
      <c r="A34" s="1" t="inlineStr">
        <is>
          <t>3C</t>
        </is>
      </c>
      <c r="B34" s="1" t="inlineStr">
        <is>
          <t>美国</t>
        </is>
      </c>
      <c r="C34" s="1" t="inlineStr">
        <is>
          <t>视觉产品</t>
        </is>
      </c>
      <c r="D34" s="5" t="n">
        <v>0.2</v>
      </c>
      <c r="E34" s="2" t="inlineStr">
        <is>
          <t>$0.70B</t>
        </is>
      </c>
      <c r="F34" s="2">
        <f>+1.4%</f>
        <v/>
      </c>
      <c r="G34" s="24" t="n">
        <v>0.239</v>
      </c>
      <c r="H34" s="24" t="n">
        <v>0.406</v>
      </c>
      <c r="I34" s="2" t="n">
        <v>20</v>
      </c>
      <c r="J34" s="1" t="inlineStr">
        <is>
          <t>阅读眼镜 | 男式太阳镜 | 隐形眼镜盒 | 隐形眼镜浸泡液 | 眼镜维修套件 | 眼镜清洁纸巾和布</t>
        </is>
      </c>
      <c r="K34" s="1" t="inlineStr">
        <is>
          <t>Refresh($54.3M) | OCuSOFT($16.7M) | Wowflash($12.0M) | Madison Avenue($4.8M) | TIJN($4.7M) | Kerecsen($4.1M) | SIGVAN($3.9M) | Optase($3.8M) | ANYLUV($3.5M) | SKYOAK($3.3M)</t>
        </is>
      </c>
      <c r="L34" s="4" t="n"/>
      <c r="M34" s="4" t="n"/>
      <c r="N34" s="4" t="n"/>
    </row>
    <row r="35">
      <c r="A35" s="1" t="inlineStr">
        <is>
          <t>3C</t>
        </is>
      </c>
      <c r="B35" s="1" t="inlineStr">
        <is>
          <t>美国</t>
        </is>
      </c>
      <c r="C35" s="1" t="inlineStr">
        <is>
          <t>增材制造产品</t>
        </is>
      </c>
      <c r="D35" s="5" t="n">
        <v>0.19</v>
      </c>
      <c r="E35" s="2" t="inlineStr">
        <is>
          <t>$0.67B</t>
        </is>
      </c>
      <c r="F35" s="2">
        <f>+1.3%</f>
        <v/>
      </c>
      <c r="G35" s="2" t="inlineStr">
        <is>
          <t>N/A</t>
        </is>
      </c>
      <c r="H35" s="24" t="n">
        <v>0.928</v>
      </c>
      <c r="I35" s="2" t="n">
        <v>12</v>
      </c>
      <c r="J35" s="1" t="inlineStr">
        <is>
          <t>3D打印细丝 | 3D打印液 | 3D打印机 | 桌面照片打印机 | 3D打印机配件 | 3D打印机挤出机</t>
        </is>
      </c>
      <c r="K35" s="1" t="inlineStr">
        <is>
          <t>Creality($105.2M) | SUNLU($71.8M) | FLASHFORGE($67.2M) | ELEGOO($54.3M) | ANYCUBIC($41.3M) | OVERTURE($22.2M) | BAMBULAB($21.9M) | POLYMAKER($15.2M) | Comgrow($15.2M) | YOOPAI($13.7M)</t>
        </is>
      </c>
      <c r="L35" s="4" t="n"/>
      <c r="M35" s="4" t="n"/>
      <c r="N35" s="4" t="n"/>
    </row>
    <row r="36">
      <c r="A36" s="1" t="inlineStr">
        <is>
          <t>3C</t>
        </is>
      </c>
      <c r="B36" s="1" t="inlineStr">
        <is>
          <t>美国</t>
        </is>
      </c>
      <c r="C36" s="1" t="inlineStr">
        <is>
          <t>平板电脑配件</t>
        </is>
      </c>
      <c r="D36" s="5" t="n">
        <v>0.18</v>
      </c>
      <c r="E36" s="2" t="inlineStr">
        <is>
          <t>$0.51B</t>
        </is>
      </c>
      <c r="F36" s="2">
        <f>+1.4%</f>
        <v/>
      </c>
      <c r="G36" s="24" t="n">
        <v>2.154</v>
      </c>
      <c r="H36" s="24" t="n">
        <v>0.577</v>
      </c>
      <c r="I36" s="2" t="n">
        <v>32</v>
      </c>
      <c r="J36" s="1" t="inlineStr">
        <is>
          <t>平板电脑机箱 | 平板电脑键盘盒 | 其他 | 样式 | 更新的电脑和配件</t>
        </is>
      </c>
      <c r="K36" s="1" t="inlineStr">
        <is>
          <t>MoKo($9.9M) | typecase($9.6M) | SEYMAC stock($9.1M) | Lamicall($7.9M) | JAMJAKE($7.6M) | Harvopu($6.5M) | Hamile($5.9M) | SPARIN($5.7M) | ESR($5.5M) | metapen($4.8M)</t>
        </is>
      </c>
      <c r="L36" s="4" t="n"/>
      <c r="M36" s="4" t="n"/>
      <c r="N36" s="4" t="n"/>
    </row>
    <row r="37">
      <c r="A37" s="1" t="inlineStr">
        <is>
          <t>3C</t>
        </is>
      </c>
      <c r="B37" s="1" t="inlineStr">
        <is>
          <t>美国</t>
        </is>
      </c>
      <c r="C37" s="1" t="inlineStr">
        <is>
          <t>灯、灯泡和指示灯</t>
        </is>
      </c>
      <c r="D37" s="5" t="n">
        <v>0.18</v>
      </c>
      <c r="E37" s="2" t="inlineStr">
        <is>
          <t>$0.66B</t>
        </is>
      </c>
      <c r="F37" s="2">
        <f>+1%</f>
        <v/>
      </c>
      <c r="G37" s="24" t="n">
        <v>1.401</v>
      </c>
      <c r="H37" s="24" t="n">
        <v>0.751</v>
      </c>
      <c r="I37" s="2" t="n">
        <v>35</v>
      </c>
      <c r="J37" s="1" t="inlineStr">
        <is>
          <t>汽车前照灯总成 | 汽车尾灯总成 | 汽车前照灯灯泡 | 汽车转向信号灯泡 | 汽车灯条 | 汽车霓虹灯</t>
        </is>
      </c>
      <c r="K37" s="1" t="inlineStr">
        <is>
          <t>Termitor($52.2M) | AUXITO($26.9M) | FAHREN($23.4M) | Auxbeam($19.3M) | SEALIGHT($17.3M) | PIT66($7.9M) | Agrieyes($7.1M) | OXILAM($6.1M) | rimthin($5.2M) | Boine($5.1M)</t>
        </is>
      </c>
      <c r="L37" s="4" t="n"/>
      <c r="M37" s="4" t="n"/>
      <c r="N37" s="4" t="n"/>
    </row>
    <row r="38">
      <c r="A38" s="1" t="inlineStr">
        <is>
          <t>3C</t>
        </is>
      </c>
      <c r="B38" s="1" t="inlineStr">
        <is>
          <t>美国</t>
        </is>
      </c>
      <c r="C38" s="1" t="inlineStr">
        <is>
          <t>电子书阅读器和附件</t>
        </is>
      </c>
      <c r="D38" s="5" t="n">
        <v>0.1</v>
      </c>
      <c r="E38" s="2" t="inlineStr">
        <is>
          <t>$0.36B</t>
        </is>
      </c>
      <c r="F38" s="24" t="n">
        <v>-0.005</v>
      </c>
      <c r="G38" s="24" t="n">
        <v>32.175</v>
      </c>
      <c r="H38" s="24" t="n">
        <v>0.075</v>
      </c>
      <c r="I38" s="2" t="n">
        <v>25</v>
      </c>
      <c r="J38" s="1" t="inlineStr">
        <is>
          <t>电子书阅读器 | 电子书阅读器和附件 | 亚马逊设备配件 | 电子书阅读器封面</t>
        </is>
      </c>
      <c r="K38" s="1" t="inlineStr">
        <is>
          <t>CoBak($5.8M) | MoKo($3.8M) | HIONXMGA($2.3M) | DATAFY($2.2M) | Bigme($1.2M) | BOOX($0.9M) | SK SYUKUYU($0.6M) | TeoTeeo($0.4M) | Musnap($0.4M) | iDLEHANDS($0.4M)</t>
        </is>
      </c>
      <c r="L38" s="4" t="n"/>
      <c r="M38" s="4" t="n"/>
      <c r="N38" s="4" t="n"/>
    </row>
    <row r="39">
      <c r="A39" s="1" t="inlineStr">
        <is>
          <t>3C</t>
        </is>
      </c>
      <c r="B39" s="1" t="inlineStr">
        <is>
          <t>美国</t>
        </is>
      </c>
      <c r="C39" s="1" t="inlineStr">
        <is>
          <t>计算机外部组件</t>
        </is>
      </c>
      <c r="D39" s="5" t="n">
        <v>0.1</v>
      </c>
      <c r="E39" s="2" t="inlineStr">
        <is>
          <t>$0.53B</t>
        </is>
      </c>
      <c r="F39" s="24" t="n">
        <v>-0.008999999999999999</v>
      </c>
      <c r="G39" s="24" t="n">
        <v>10.472</v>
      </c>
      <c r="H39" s="24" t="n">
        <v>0.17</v>
      </c>
      <c r="I39" s="2" t="n">
        <v>18</v>
      </c>
      <c r="J39" s="1" t="inlineStr">
        <is>
          <t>外部固态驱动器 | Mac游戏和配件 | 外部硬盘驱动器 | 遗留系统 | 计算机机箱 | RC车身</t>
        </is>
      </c>
      <c r="K39" s="1" t="inlineStr">
        <is>
          <t>SSK($12.1M) | YOTUO($6.4M) | Aiolo Innovation($3.1M) | ORIGBELIE($3.1M) | GL.iNet($3.0M) | MOVE SPEED($2.4M) | Rioddas($2.1M) | Jonsbo($1.6M) | Amicool($1.4M) | iDiskk($1.2M)</t>
        </is>
      </c>
      <c r="L39" s="4" t="n"/>
      <c r="M39" s="4" t="n"/>
      <c r="N39" s="4" t="n"/>
    </row>
    <row r="40">
      <c r="A40" s="1" t="inlineStr">
        <is>
          <t>3C</t>
        </is>
      </c>
      <c r="B40" s="1" t="inlineStr">
        <is>
          <t>美国</t>
        </is>
      </c>
      <c r="C40" s="1" t="inlineStr">
        <is>
          <t>办公室照明</t>
        </is>
      </c>
      <c r="D40" s="5" t="n">
        <v>0.03</v>
      </c>
      <c r="E40" s="2" t="inlineStr">
        <is>
          <t>$0.39B</t>
        </is>
      </c>
      <c r="F40" s="24" t="n">
        <v>-0.025</v>
      </c>
      <c r="G40" s="24" t="n">
        <v>0.613</v>
      </c>
      <c r="H40" s="24" t="n">
        <v>0.872</v>
      </c>
      <c r="I40" s="2" t="n">
        <v>6</v>
      </c>
      <c r="J40" s="1" t="inlineStr">
        <is>
          <t>落地灯 | 光疗产品 | 台灯 | USB阅读灯 | 书本灯 | 纸灯笼</t>
        </is>
      </c>
      <c r="K40" s="1" t="inlineStr">
        <is>
          <t>SUNMORY($15.5M) | Ambimall($10.4M) | Nintiue($8.7M) | SIBRILLE($8.0M) | Airlonv($7.1M) | Honeywell($6.7M) | Miortior($6.6M) | ROTTOGOON($5.6M) | PARTPHONER($5.3M) | LEPOWER($5.1M)</t>
        </is>
      </c>
      <c r="L40" s="4" t="n"/>
      <c r="M40" s="4" t="n"/>
      <c r="N40" s="4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200"/>
  <sheetViews>
    <sheetView showGridLines="1" workbookViewId="0">
      <selection activeCell="A1" sqref="A1"/>
    </sheetView>
  </sheetViews>
  <sheetFormatPr baseColWidth="8" defaultColWidth="14" defaultRowHeight="19"/>
  <cols>
    <col width="13" customWidth="1" style="26" min="1" max="1"/>
    <col width="133" customWidth="1" style="26" min="2" max="2"/>
    <col width="14" customWidth="1" style="26" min="3" max="3"/>
    <col width="14" customWidth="1" style="26" min="4" max="4"/>
    <col width="14" customWidth="1" style="26" min="5" max="5"/>
    <col width="14" customWidth="1" style="26" min="6" max="6"/>
    <col width="14" customWidth="1" style="26" min="7" max="7"/>
    <col width="14" customWidth="1" style="26" min="8" max="8"/>
    <col width="14" customWidth="1" style="26" min="9" max="9"/>
    <col width="14" customWidth="1" style="26" min="10" max="10"/>
    <col width="14" customWidth="1" style="26" min="11" max="11"/>
    <col width="14" customWidth="1" style="26" min="12" max="12"/>
    <col width="14" customWidth="1" style="26" min="13" max="13"/>
    <col width="14" customWidth="1" style="26" min="14" max="14"/>
    <col width="14" customWidth="1" style="26" min="15" max="15"/>
    <col width="14" customWidth="1" style="26" min="16" max="16"/>
    <col width="14" customWidth="1" style="26" min="17" max="17"/>
    <col width="14" customWidth="1" style="26" min="18" max="18"/>
    <col width="14" customWidth="1" style="26" min="19" max="19"/>
    <col width="14" customWidth="1" style="26" min="20" max="20"/>
  </cols>
  <sheetData>
    <row r="1">
      <c r="A1" s="11" t="inlineStr">
        <is>
          <t>项目</t>
        </is>
      </c>
      <c r="B1" s="12" t="inlineStr">
        <is>
          <t>说明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A2" s="10" t="inlineStr">
        <is>
          <t>数据来源</t>
        </is>
      </c>
      <c r="B2" s="9" t="inlineStr">
        <is>
          <t>Amazon.com Sorftime导出底表（US-3C市场大盘底表汇总），38个品类xlsx。Sheet1(类目细分)1,341行 + Sheet2(中国品牌)49,710行 + Sheet4(品牌月度趋势)65,439行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>
      <c r="A3" s="10" t="inlineStr">
        <is>
          <t>数据周期</t>
        </is>
      </c>
      <c r="B3" s="9" t="inlineStr">
        <is>
          <t>月度趋势：2024-04至2026-03（24个月列）。年GMV：Sheet1中"年GMV($)"列，近12个月滚动合计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>
      <c r="A4" s="10" t="inlineStr">
        <is>
          <t>品类范围</t>
        </is>
      </c>
      <c r="B4" s="9" t="inlineStr">
        <is>
          <t>共38个一级行业（Sorftime二级类目），覆盖3C电子全品类。全品类年GMV合计$79.6B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10" t="inlineStr">
        <is>
          <t>国家范围</t>
        </is>
      </c>
      <c r="B5" s="9" t="inlineStr">
        <is>
          <t>美国（Amazon.com）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10" t="inlineStr">
        <is>
          <t>去重说明</t>
        </is>
      </c>
      <c r="B6" s="9" t="inlineStr">
        <is>
          <t>手机配件与手机和配件为Sorftime中两个独立品类但数据高度重复（$5.52B vs $5.62B），已剔除手机配件，保留手机和配件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10" t="inlineStr">
        <is>
          <t>热度值公式</t>
        </is>
      </c>
      <c r="B7" s="9" t="inlineStr">
        <is>
          <t>热度值 = GMV归一化 × 0.6 + MoM增速归一化 × 0.4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10" t="inlineStr">
        <is>
          <t>GMV归一化</t>
        </is>
      </c>
      <c r="B8" s="9" t="inlineStr">
        <is>
          <t>品类年GMV / 最大品类年GMV（范围0-1）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10" t="inlineStr">
        <is>
          <t>MoM归一化</t>
        </is>
      </c>
      <c r="B9" s="9" t="inlineStr">
        <is>
          <t>（品类MoM - 所有品类最小MoM）/（最大MoM - 最小MoM），处理负值后范围0-1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10" t="inlineStr">
        <is>
          <t>年复合增长率</t>
        </is>
      </c>
      <c r="B10" s="9" t="inlineStr">
        <is>
          <t>（末次有数月GMV / 首次有数月GMV - 1）× 100%。不设固定月数，有多少算多少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10" t="inlineStr">
        <is>
          <t>中国品牌判定</t>
        </is>
      </c>
      <c r="B11" s="9" t="inlineStr">
        <is>
          <t>底表Sheet2"国家归属"列标注"中国/中国香港/中国台湾"。按发货地判定——大品牌用海外仓可能被误标为本地品牌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10" t="inlineStr">
        <is>
          <t>Top10中国玩家</t>
        </is>
      </c>
      <c r="B12" s="9" t="inlineStr">
        <is>
          <t>来自底表Sheet2，按月GMV($)降序取前10。注：Sheet2"月GMV($)"实际为年化/累计口径，排名有效但绝对值不可作月GMV引用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10" t="inlineStr">
        <is>
          <t>权重说明</t>
        </is>
      </c>
      <c r="B13" s="9" t="inlineStr">
        <is>
          <t>GMV权重(0.6)&gt;MoM(0.4)：拓客核心优先大体量品类。MoM作为修正因子——高增速小品类也能获得合理热度排名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10" t="inlineStr">
        <is>
          <t>政策加权</t>
        </is>
      </c>
      <c r="B14" s="9" t="inlineStr">
        <is>
          <t>本版未纳入政策加权。工信部婴童智能化、适老化设备补贴等政策方向可在后续版本作为修正项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10" t="inlineStr">
        <is>
          <t>更新日期</t>
        </is>
      </c>
      <c r="B15" s="25" t="n">
        <v>46161</v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10" t="inlineStr">
        <is>
          <t>版本</t>
        </is>
      </c>
      <c r="B16" s="9" t="inlineStr">
        <is>
          <t>v2.0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</row>
  </sheetData>
  <hyperlinks>
    <hyperlink xmlns:r="http://schemas.openxmlformats.org/officeDocument/2006/relationships" ref="B2" display="Amazon.com" r:id="rId1"/>
    <hyperlink xmlns:r="http://schemas.openxmlformats.org/officeDocument/2006/relationships" ref="B5" display="Amazon.com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12"/>
  <sheetViews>
    <sheetView showGridLines="1" workbookViewId="0">
      <selection activeCell="A1" sqref="A1"/>
    </sheetView>
  </sheetViews>
  <sheetFormatPr baseColWidth="8" defaultColWidth="14" defaultRowHeight="19"/>
  <cols>
    <col width="12" customWidth="1" style="26" min="1" max="1"/>
    <col width="5" customWidth="1" style="26" min="2" max="2"/>
    <col width="20" customWidth="1" style="26" min="3" max="3"/>
    <col width="12" customWidth="1" style="26" min="4" max="4"/>
    <col width="137" customWidth="1" style="26" min="5" max="5"/>
    <col width="7" customWidth="1" style="26" min="6" max="6"/>
    <col width="171" customWidth="1" style="26" min="7" max="7"/>
    <col width="14" customWidth="1" style="26" min="8" max="8"/>
    <col width="14" customWidth="1" style="26" min="9" max="9"/>
    <col width="14" customWidth="1" style="26" min="10" max="10"/>
    <col width="14" customWidth="1" style="26" min="11" max="11"/>
    <col width="14" customWidth="1" style="26" min="12" max="12"/>
    <col width="14" customWidth="1" style="26" min="13" max="13"/>
    <col width="14" customWidth="1" style="26" min="14" max="14"/>
    <col width="14" customWidth="1" style="26" min="15" max="15"/>
    <col width="14" customWidth="1" style="26" min="16" max="16"/>
    <col width="14" customWidth="1" style="26" min="17" max="17"/>
    <col width="14" customWidth="1" style="26" min="18" max="18"/>
    <col width="14" customWidth="1" style="26" min="19" max="19"/>
    <col width="14" customWidth="1" style="26" min="20" max="20"/>
  </cols>
  <sheetData>
    <row r="1">
      <c r="A1" s="22" t="inlineStr">
        <is>
          <t>标签行业分类</t>
        </is>
      </c>
      <c r="B1" s="20" t="inlineStr">
        <is>
          <t>国家</t>
        </is>
      </c>
      <c r="C1" s="20" t="inlineStr">
        <is>
          <t>一级行业</t>
        </is>
      </c>
      <c r="D1" s="20" t="inlineStr">
        <is>
          <t>品牌名称</t>
        </is>
      </c>
      <c r="E1" s="20" t="inlineStr">
        <is>
          <t>事件内容</t>
        </is>
      </c>
      <c r="F1" s="20" t="inlineStr">
        <is>
          <t>PR质量</t>
        </is>
      </c>
      <c r="G1" s="21" t="inlineStr">
        <is>
          <t>信源链接</t>
        </is>
      </c>
    </row>
    <row r="2">
      <c r="A2" s="19" t="inlineStr">
        <is>
          <t>3C</t>
        </is>
      </c>
      <c r="B2" s="17" t="inlineStr">
        <is>
          <t>美国</t>
        </is>
      </c>
      <c r="C2" s="17" t="inlineStr">
        <is>
          <t>3C行业政策</t>
        </is>
      </c>
      <c r="D2" s="17" t="inlineStr">
        <is>
          <t>-</t>
        </is>
      </c>
      <c r="E2" s="17" t="inlineStr">
        <is>
          <t>2026-04-06，商务部等6部门发布推进电子商务高质量发展政策，支持中小企业数字化、数据/渠道/技术开放、对接国际资源，对跨境品牌出海构成宏观信号。</t>
        </is>
      </c>
      <c r="F2" s="17" t="inlineStr">
        <is>
          <t>高</t>
        </is>
      </c>
      <c r="G2" s="18" t="inlineStr">
        <is>
          <t>https://www.mofcom.gov.cn/zcfb/zhzc/art/2026/art_7e1dc12697b744fd89e6110673ac117c.html</t>
        </is>
      </c>
    </row>
    <row r="3">
      <c r="A3" s="16" t="inlineStr">
        <is>
          <t>3C</t>
        </is>
      </c>
      <c r="B3" s="14" t="inlineStr">
        <is>
          <t>美国</t>
        </is>
      </c>
      <c r="C3" s="14" t="inlineStr">
        <is>
          <t>3C行业政策</t>
        </is>
      </c>
      <c r="D3" s="14" t="inlineStr">
        <is>
          <t>-</t>
        </is>
      </c>
      <c r="E3" s="14" t="inlineStr">
        <is>
          <t>2026-01-09，工信部等八部门发布“人工智能+制造”专项行动，明确加快赋能电子信息等制造业重点行业，推动研发设计、生产制造、营销服务全流程智能化。</t>
        </is>
      </c>
      <c r="F3" s="14" t="inlineStr">
        <is>
          <t>高</t>
        </is>
      </c>
      <c r="G3" s="15" t="inlineStr">
        <is>
          <t>https://www.nda.gov.cn/sjj/zwgk/zcfb/0112/20260107214358696030895_pc.html</t>
        </is>
      </c>
    </row>
    <row r="4">
      <c r="A4" s="19" t="inlineStr">
        <is>
          <t>3C</t>
        </is>
      </c>
      <c r="B4" s="17" t="inlineStr">
        <is>
          <t>美国</t>
        </is>
      </c>
      <c r="C4" s="17" t="inlineStr">
        <is>
          <t>3C行业政策</t>
        </is>
      </c>
      <c r="D4" s="17" t="inlineStr">
        <is>
          <t>-</t>
        </is>
      </c>
      <c r="E4" s="17" t="inlineStr">
        <is>
          <t>2026-04-21，国新办一季度工信发展发布会材料提到AI等新技术在电子、消费品行业应用加速，无人机、AI眼镜等终端产品丰富。</t>
        </is>
      </c>
      <c r="F4" s="17" t="inlineStr">
        <is>
          <t>高</t>
        </is>
      </c>
      <c r="G4" s="18" t="inlineStr">
        <is>
          <t>https://www.scio.gov.cn/live/2026/38374/qwxz/202604/P020260422356376818002.pdf</t>
        </is>
      </c>
    </row>
    <row r="5">
      <c r="A5" s="16" t="inlineStr">
        <is>
          <t>3C</t>
        </is>
      </c>
      <c r="B5" s="14" t="inlineStr">
        <is>
          <t>美国</t>
        </is>
      </c>
      <c r="C5" s="14" t="inlineStr">
        <is>
          <t>真空吸尘器和地板护理</t>
        </is>
      </c>
      <c r="D5" s="14" t="inlineStr">
        <is>
          <t>Aiper</t>
        </is>
      </c>
      <c r="E5" s="14" t="inlineStr">
        <is>
          <t>2026-01-26，Aiper在Pool &amp; Spa Show 2026宣布与Pool &amp; Hot Tub Alliance建立战略合作，并展示Scuba V3/N3等智能泳池机器人。</t>
        </is>
      </c>
      <c r="F5" s="14" t="inlineStr">
        <is>
          <t>高</t>
        </is>
      </c>
      <c r="G5" s="15" t="inlineStr">
        <is>
          <t>https://www.prnewswire.com/news-releases/aiper-announces-strategic-partnership-with-pool--hot-tub-alliance-at-the-pool--spa-show-2026-302669992.html</t>
        </is>
      </c>
    </row>
    <row r="6">
      <c r="A6" s="19" t="inlineStr">
        <is>
          <t>3C</t>
        </is>
      </c>
      <c r="B6" s="17" t="inlineStr">
        <is>
          <t>美国</t>
        </is>
      </c>
      <c r="C6" s="17" t="inlineStr">
        <is>
          <t>真空吸尘器和地板护理</t>
        </is>
      </c>
      <c r="D6" s="17" t="inlineStr">
        <is>
          <t>Aiper</t>
        </is>
      </c>
      <c r="E6" s="17" t="inlineStr">
        <is>
          <t>2026-04-22，Aiper披露新研究称其为全球No.1智能泳池清洁机器人品牌，基于2026 manufacturer sales volume。</t>
        </is>
      </c>
      <c r="F6" s="17" t="inlineStr">
        <is>
          <t>高</t>
        </is>
      </c>
      <c r="G6" s="18" t="inlineStr">
        <is>
          <t>https://en.prnasia.com/releases/apac/as-homes-get-smarter-new-global-research-names-aiper-as-the-world-s-no-1-smart-robotic-pool-cleaner-brand-530066.shtml</t>
        </is>
      </c>
    </row>
    <row r="7">
      <c r="A7" s="16" t="inlineStr">
        <is>
          <t>3C</t>
        </is>
      </c>
      <c r="B7" s="14" t="inlineStr">
        <is>
          <t>美国</t>
        </is>
      </c>
      <c r="C7" s="14" t="inlineStr">
        <is>
          <t>电子配件和用品</t>
        </is>
      </c>
      <c r="D7" s="14" t="inlineStr">
        <is>
          <t>Anker</t>
        </is>
      </c>
      <c r="E7" s="14" t="inlineStr">
        <is>
          <t>2026-01-06，Anker Innovations在CES 2026展示Anker/eufy/Soundcore充电、智能家居、娱乐设备组合。</t>
        </is>
      </c>
      <c r="F7" s="14" t="inlineStr">
        <is>
          <t>高</t>
        </is>
      </c>
      <c r="G7" s="15" t="inlineStr">
        <is>
          <t>https://www.prnewswire.com/apac/news-releases/anker-innovations-showcases-iconic-lineup-of-charging-smart-home-and-entertainment-devices-during-ces-2026-302653788.html</t>
        </is>
      </c>
    </row>
    <row r="8">
      <c r="A8" s="19" t="inlineStr">
        <is>
          <t>3C</t>
        </is>
      </c>
      <c r="B8" s="17" t="inlineStr">
        <is>
          <t>美国</t>
        </is>
      </c>
      <c r="C8" s="17" t="inlineStr">
        <is>
          <t>电子配件和用品</t>
        </is>
      </c>
      <c r="D8" s="17" t="inlineStr">
        <is>
          <t>Baseus</t>
        </is>
      </c>
      <c r="E8" s="17" t="inlineStr">
        <is>
          <t>2026-01-04，Baseus在CES 2026展示PicoGo II、X1 Pro Security Camera、VD1 Dash Cam等全线创新，安防是新品类重点。</t>
        </is>
      </c>
      <c r="F8" s="17" t="inlineStr">
        <is>
          <t>高</t>
        </is>
      </c>
      <c r="G8" s="18" t="inlineStr">
        <is>
          <t>https://www.prnewswire.com/news-releases/baseus-powers-up-ces-2026-with-full-range-innovations-302652099.html</t>
        </is>
      </c>
    </row>
    <row r="9">
      <c r="A9" s="16" t="inlineStr">
        <is>
          <t>3C</t>
        </is>
      </c>
      <c r="B9" s="14" t="inlineStr">
        <is>
          <t>美国</t>
        </is>
      </c>
      <c r="C9" s="14" t="inlineStr">
        <is>
          <t>监控和安全摄像头</t>
        </is>
      </c>
      <c r="D9" s="14" t="inlineStr">
        <is>
          <t>Baseus</t>
        </is>
      </c>
      <c r="E9" s="14" t="inlineStr">
        <is>
          <t>2026-02-09，Baseus Security宣布Kickstarter成功后的X1 Pro双AI追踪安防摄像头进入Amazon，披露2800+支持者与821826美元众筹金额。</t>
        </is>
      </c>
      <c r="F9" s="14" t="inlineStr">
        <is>
          <t>高</t>
        </is>
      </c>
      <c r="G9" s="15" t="inlineStr">
        <is>
          <t>https://pressreleasehub.pa.media/article/baseus-security-brings-kickstarter-success-x1-pro-smart-ai-dual-tracking-security-camera-to-amazon-67358.html</t>
        </is>
      </c>
    </row>
    <row r="10">
      <c r="A10" s="19" t="inlineStr">
        <is>
          <t>3C</t>
        </is>
      </c>
      <c r="B10" s="17" t="inlineStr">
        <is>
          <t>美国</t>
        </is>
      </c>
      <c r="C10" s="17" t="inlineStr">
        <is>
          <t>增材制造产品</t>
        </is>
      </c>
      <c r="D10" s="17" t="inlineStr">
        <is>
          <t>Creality</t>
        </is>
      </c>
      <c r="E10" s="17" t="inlineStr">
        <is>
          <t>2026-01-07，Creality SPARKX i7在CES 2026首次亮相，主打AI工具、自动化和普通创作者多色打印。</t>
        </is>
      </c>
      <c r="F10" s="17" t="inlineStr">
        <is>
          <t>高</t>
        </is>
      </c>
      <c r="G10" s="18" t="inlineStr">
        <is>
          <t>https://sg.finance.yahoo.com/news/idea-print-creality-sparkx-i7-000000612.html</t>
        </is>
      </c>
    </row>
    <row r="11">
      <c r="A11" s="16" t="inlineStr">
        <is>
          <t>3C</t>
        </is>
      </c>
      <c r="B11" s="14" t="inlineStr">
        <is>
          <t>美国</t>
        </is>
      </c>
      <c r="C11" s="14" t="inlineStr">
        <is>
          <t>电子配件和用品</t>
        </is>
      </c>
      <c r="D11" s="14" t="inlineStr">
        <is>
          <t>DJI</t>
        </is>
      </c>
      <c r="E11" s="14" t="inlineStr">
        <is>
          <t>2026-04-17，DJI在NAB 2026展示Osmo 360、Osmo Nano、Osmo Action 6等创作者工具；2026-04-28发布DJI Mic Mini 2。</t>
        </is>
      </c>
      <c r="F11" s="14" t="inlineStr">
        <is>
          <t>高</t>
        </is>
      </c>
      <c r="G11" s="15" t="inlineStr">
        <is>
          <t>https://www.prnewswire.com/news-releases/dji-showcases-best-in-class-creator-tools-at-nab-2026-302740271.html
https://www.prnewswire.com/news-releases/sound-and-style-combined-dji-mic-mini-2-delivers-upleveled-audio-and-all-in-one-storage-302754199.html</t>
        </is>
      </c>
    </row>
    <row r="12">
      <c r="A12" s="19" t="inlineStr">
        <is>
          <t>3C</t>
        </is>
      </c>
      <c r="B12" s="17" t="inlineStr">
        <is>
          <t>美国</t>
        </is>
      </c>
      <c r="C12" s="17" t="inlineStr">
        <is>
          <t>真空吸尘器和地板护理</t>
        </is>
      </c>
      <c r="D12" s="17" t="inlineStr">
        <is>
          <t>DREAME</t>
        </is>
      </c>
      <c r="E12" s="17" t="inlineStr">
        <is>
          <t>2026-01-06，Dreame Technology在CES 2026展示whole-home smart ecosystem，含X60 Max Ultra Complete等新品。</t>
        </is>
      </c>
      <c r="F12" s="17" t="inlineStr">
        <is>
          <t>高</t>
        </is>
      </c>
      <c r="G12" s="18" t="inlineStr">
        <is>
          <t>https://www.prnewswire.com/news-releases/dreame-technology-to-unveil-its-whole-home-smart-ecosystem-of-breakthrough-technologies-at-ces-2026-with-all-dreams-in-one-dreame-vision-302654456.html</t>
        </is>
      </c>
    </row>
    <row r="13">
      <c r="A13" s="16" t="inlineStr">
        <is>
          <t>3C</t>
        </is>
      </c>
      <c r="B13" s="14" t="inlineStr">
        <is>
          <t>美国</t>
        </is>
      </c>
      <c r="C13" s="14" t="inlineStr">
        <is>
          <t>真空吸尘器和地板护理</t>
        </is>
      </c>
      <c r="D13" s="14" t="inlineStr">
        <is>
          <t>DREAME</t>
        </is>
      </c>
      <c r="E13" s="14" t="inlineStr">
        <is>
          <t>2026-01-06，Dreame宣布将在CES 2026展示全屋智能生态，覆盖扫地机器人、洗地机、割草机器人、AI可穿戴、AI眼镜、AI手表等新品线。</t>
        </is>
      </c>
      <c r="F13" s="14" t="inlineStr">
        <is>
          <t>高</t>
        </is>
      </c>
      <c r="G13" s="15" t="inlineStr">
        <is>
          <t>https://www.prnewswire.com/news-releases/dreame-technology-to-unveil-its-whole-home-smart-ecosystem-of-breakthrough-technologies-at-ces-2026-with-all-dreams-in-one-dreame-vision-302654456.html</t>
        </is>
      </c>
    </row>
    <row r="14">
      <c r="A14" s="19" t="inlineStr">
        <is>
          <t>3C</t>
        </is>
      </c>
      <c r="B14" s="17" t="inlineStr">
        <is>
          <t>美国</t>
        </is>
      </c>
      <c r="C14" s="17" t="inlineStr">
        <is>
          <t>真空吸尘器和地板护理</t>
        </is>
      </c>
      <c r="D14" s="17" t="inlineStr">
        <is>
          <t>DREAME</t>
        </is>
      </c>
      <c r="E14" s="17" t="inlineStr">
        <is>
          <t>2026-01-14，Dreame CES 2026收官披露获得50+奖项，核心产品含X60 Max Ultra、Aero Pro、A3 AWD Pro、AI Ring RG001。</t>
        </is>
      </c>
      <c r="F14" s="17" t="inlineStr">
        <is>
          <t>高</t>
        </is>
      </c>
      <c r="G14" s="18" t="inlineStr">
        <is>
          <t>https://www.prnewswire.com/news-releases/dreame-wraps-up-a-successful-ces-showcase-sweeping-over-50-awards-and-debuting-its-visionary-whole-home-smart-ecosystem-302661394.html</t>
        </is>
      </c>
    </row>
    <row r="15">
      <c r="A15" s="16" t="inlineStr">
        <is>
          <t>3C</t>
        </is>
      </c>
      <c r="B15" s="14" t="inlineStr">
        <is>
          <t>美国</t>
        </is>
      </c>
      <c r="C15" s="14" t="inlineStr">
        <is>
          <t>真空吸尘器和地板护理</t>
        </is>
      </c>
      <c r="D15" s="14" t="inlineStr">
        <is>
          <t>DREAME</t>
        </is>
      </c>
      <c r="E15" s="14" t="inlineStr">
        <is>
          <t>2026-01-16，Dreame披露CES 2026多项行业奖项，智能清洁、美容科技、可穿戴同时出现，说明其从清洁设备扩张到全屋/个人电子生态。</t>
        </is>
      </c>
      <c r="F15" s="14" t="inlineStr">
        <is>
          <t>高</t>
        </is>
      </c>
      <c r="G15" s="15" t="inlineStr">
        <is>
          <t>https://www.prnewswire.com/apac/news-releases/dreame-debuts-ai-powered-whole-home-smart-ecosystem-at-ces-2026-earning-multiple-industry-awards-302663062.html</t>
        </is>
      </c>
    </row>
    <row r="16">
      <c r="A16" s="19" t="inlineStr">
        <is>
          <t>3C</t>
        </is>
      </c>
      <c r="B16" s="17" t="inlineStr">
        <is>
          <t>美国</t>
        </is>
      </c>
      <c r="C16" s="17" t="inlineStr">
        <is>
          <t>真空吸尘器和地板护理</t>
        </is>
      </c>
      <c r="D16" s="17" t="inlineStr">
        <is>
          <t>DREAME</t>
        </is>
      </c>
      <c r="E16" s="17" t="inlineStr">
        <is>
          <t>2026-01-27，Dreame在硅谷展示2026 home appliance vision，强调机器人自治和AI-powered living，属于CES后美国市场二次传播。</t>
        </is>
      </c>
      <c r="F16" s="17" t="inlineStr">
        <is>
          <t>高</t>
        </is>
      </c>
      <c r="G16" s="18" t="inlineStr">
        <is>
          <t>https://www.prnewswire.com/news-releases/dreame-unveils-beyond-smart-home-ecosystem-in-silicon-valley-showcasing-a-future-of-robotic-autonomy-and-ai-powered-living-302670608.html</t>
        </is>
      </c>
    </row>
    <row r="17">
      <c r="A17" s="16" t="inlineStr">
        <is>
          <t>3C</t>
        </is>
      </c>
      <c r="B17" s="14" t="inlineStr">
        <is>
          <t>美国</t>
        </is>
      </c>
      <c r="C17" s="14" t="inlineStr">
        <is>
          <t>真空吸尘器和地板护理</t>
        </is>
      </c>
      <c r="D17" s="14" t="inlineStr">
        <is>
          <t>DREAME</t>
        </is>
      </c>
      <c r="E17" s="14" t="inlineStr">
        <is>
          <t>2026-01-07，Dreame发布Ultimate Roboticmower，强调全地形、无边界线、内置安防；智能清洁向户外机器人迁移。</t>
        </is>
      </c>
      <c r="F17" s="14" t="inlineStr">
        <is>
          <t>高</t>
        </is>
      </c>
      <c r="G17" s="15" t="inlineStr">
        <is>
          <t>https://sg.finance.yahoo.com/news/dreame-launches-ultimate-roboticmower-ces-100600855.html</t>
        </is>
      </c>
    </row>
    <row r="18">
      <c r="A18" s="19" t="inlineStr">
        <is>
          <t>3C</t>
        </is>
      </c>
      <c r="B18" s="17" t="inlineStr">
        <is>
          <t>美国</t>
        </is>
      </c>
      <c r="C18" s="17" t="inlineStr">
        <is>
          <t>真空吸尘器和地板护理</t>
        </is>
      </c>
      <c r="D18" s="17" t="inlineStr">
        <is>
          <t>DREAME</t>
        </is>
      </c>
      <c r="E18" s="17" t="inlineStr">
        <is>
          <t>2026-01-09，DREAME Robot Laundry在CES 2026展示AI具身洗护机器人，清洁品牌进入衣物护理机器人新品类。</t>
        </is>
      </c>
      <c r="F18" s="17" t="inlineStr">
        <is>
          <t>高</t>
        </is>
      </c>
      <c r="G18" s="18" t="inlineStr">
        <is>
          <t>https://en.prnasia.com/releases/apac/dreame-robot-laundry-s-latest-products-make-a-splash-at-ces-2026-518241.shtml</t>
        </is>
      </c>
    </row>
    <row r="19">
      <c r="A19" s="16" t="inlineStr">
        <is>
          <t>3C</t>
        </is>
      </c>
      <c r="B19" s="14" t="inlineStr">
        <is>
          <t>美国</t>
        </is>
      </c>
      <c r="C19" s="14" t="inlineStr">
        <is>
          <t>真空吸尘器和地板护理</t>
        </is>
      </c>
      <c r="D19" s="14" t="inlineStr">
        <is>
          <t>ECOVACS</t>
        </is>
      </c>
      <c r="E19" s="14" t="inlineStr">
        <is>
          <t>2026-01-06，ECOVACS在CES 2026展示DEEBOT T90 PRO OMNI、DEEBOT X12 Family、ULTRAMARINE、GOAT、WINBOT等全场景服务机器人。</t>
        </is>
      </c>
      <c r="F19" s="14" t="inlineStr">
        <is>
          <t>高</t>
        </is>
      </c>
      <c r="G19" s="15" t="inlineStr">
        <is>
          <t>https://www.prnewswire.com/news-releases/ecovacs-showcases-its-acceleration-towards-full-scenario-service-robotics-at-ces-2026-302653595.html
https://www.ecovacs.com/us/newsroom</t>
        </is>
      </c>
    </row>
    <row r="20">
      <c r="A20" s="19" t="inlineStr">
        <is>
          <t>3C</t>
        </is>
      </c>
      <c r="B20" s="17" t="inlineStr">
        <is>
          <t>美国</t>
        </is>
      </c>
      <c r="C20" s="17" t="inlineStr">
        <is>
          <t>真空吸尘器和地板护理</t>
        </is>
      </c>
      <c r="D20" s="17" t="inlineStr">
        <is>
          <t>ECOVACS</t>
        </is>
      </c>
      <c r="E20" s="17" t="inlineStr">
        <is>
          <t>2026-01-12，ECOVACS披露CES 2026获得三项GTB Awards，属于服务机器人领导力背书。</t>
        </is>
      </c>
      <c r="F20" s="17" t="inlineStr">
        <is>
          <t>高</t>
        </is>
      </c>
      <c r="G20" s="18" t="inlineStr">
        <is>
          <t>https://www.prnewswire.com/news-releases/ecovacs-gains-further-international-recognition-as-a-service-robotics-leader-winning-three-gtb-awards-at-ces-2026-302658344.html</t>
        </is>
      </c>
    </row>
    <row r="21">
      <c r="A21" s="16" t="inlineStr">
        <is>
          <t>3C</t>
        </is>
      </c>
      <c r="B21" s="14" t="inlineStr">
        <is>
          <t>美国</t>
        </is>
      </c>
      <c r="C21" s="14" t="inlineStr">
        <is>
          <t>增材制造产品</t>
        </is>
      </c>
      <c r="D21" s="14" t="inlineStr">
        <is>
          <t>ELEGOO</t>
        </is>
      </c>
      <c r="E21" s="14" t="inlineStr">
        <is>
          <t>2026-01-19，ELEGOO宣布Centauri Carbon 2 Combo将于1月26日发布，定位家庭友好多色3D打印机。</t>
        </is>
      </c>
      <c r="F21" s="14" t="inlineStr">
        <is>
          <t>高</t>
        </is>
      </c>
      <c r="G21" s="15" t="inlineStr">
        <is>
          <t>https://www.prnewswire.com/news-releases/elegoo-to-launch-multicolor-3d-printer-centauri-carbon-2-combo-on-january-26-302664343.html</t>
        </is>
      </c>
    </row>
    <row r="22">
      <c r="A22" s="19" t="inlineStr">
        <is>
          <t>3C</t>
        </is>
      </c>
      <c r="B22" s="17" t="inlineStr">
        <is>
          <t>美国</t>
        </is>
      </c>
      <c r="C22" s="17" t="inlineStr">
        <is>
          <t>增材制造产品</t>
        </is>
      </c>
      <c r="D22" s="17" t="inlineStr">
        <is>
          <t>ELEGOO</t>
        </is>
      </c>
      <c r="E22" s="17" t="inlineStr">
        <is>
          <t>2026-01-26，ELEGOO正式发布Centauri Carbon 2 Combo，PRNewswire分发，主打CANVAS系统与家庭用户。</t>
        </is>
      </c>
      <c r="F22" s="17" t="inlineStr">
        <is>
          <t>高</t>
        </is>
      </c>
      <c r="G22" s="18" t="inlineStr">
        <is>
          <t>https://pressreleasehub.pa.media/article/elegoo-launches-centauri-carbon-2-combo-a-family-friendly-multicolor-3d-printer-64833.html</t>
        </is>
      </c>
    </row>
    <row r="23">
      <c r="A23" s="16" t="inlineStr">
        <is>
          <t>3C</t>
        </is>
      </c>
      <c r="B23" s="14" t="inlineStr">
        <is>
          <t>美国</t>
        </is>
      </c>
      <c r="C23" s="14" t="inlineStr">
        <is>
          <t>增材制造产品</t>
        </is>
      </c>
      <c r="D23" s="14" t="inlineStr">
        <is>
          <t>ELEGOO</t>
        </is>
      </c>
      <c r="E23" s="14" t="inlineStr">
        <is>
          <t>2026-04-16，ELEGOO在RAPID+TCT 2026宣布Jupiter 2全球发布，并展示Centauri Carbon多色系统。</t>
        </is>
      </c>
      <c r="F23" s="14" t="inlineStr">
        <is>
          <t>高</t>
        </is>
      </c>
      <c r="G23" s="15" t="inlineStr">
        <is>
          <t>https://en.prnasia.com/releases/global/elegoo-announces-jupiter-2-global-launch-and-debuts-the-multicolor-system-for-centauri-carbon-at-rapid-tct-2026-529391.shtml</t>
        </is>
      </c>
    </row>
    <row r="24">
      <c r="A24" s="19" t="inlineStr">
        <is>
          <t>3C</t>
        </is>
      </c>
      <c r="B24" s="17" t="inlineStr">
        <is>
          <t>美国</t>
        </is>
      </c>
      <c r="C24" s="17" t="inlineStr">
        <is>
          <t>真空吸尘器和地板护理</t>
        </is>
      </c>
      <c r="D24" s="17" t="inlineStr">
        <is>
          <t>eufy</t>
        </is>
      </c>
      <c r="E24" s="17" t="inlineStr">
        <is>
          <t>2026-01-06，随Anker Innovations CES 2026组合展示智能家居设备。</t>
        </is>
      </c>
      <c r="F24" s="17" t="inlineStr">
        <is>
          <t>高</t>
        </is>
      </c>
      <c r="G24" s="18" t="inlineStr">
        <is>
          <t>https://www.prnewswire.com/apac/news-releases/anker-innovations-showcases-iconic-lineup-of-charging-smart-home-and-entertainment-devices-during-ces-2026-302653788.html</t>
        </is>
      </c>
    </row>
    <row r="25">
      <c r="A25" s="16" t="inlineStr">
        <is>
          <t>3C</t>
        </is>
      </c>
      <c r="B25" s="14" t="inlineStr">
        <is>
          <t>美国</t>
        </is>
      </c>
      <c r="C25" s="14" t="inlineStr">
        <is>
          <t>相机和照片配件</t>
        </is>
      </c>
      <c r="D25" s="14" t="inlineStr">
        <is>
          <t>Insta360</t>
        </is>
      </c>
      <c r="E25" s="14" t="inlineStr">
        <is>
          <t>2026-04-19，Insta360在NAB Show 2026预览Luna Series，并发布多项产品、bundle和软件更新，属于创作者工具新品窗口。</t>
        </is>
      </c>
      <c r="F25" s="14" t="inlineStr">
        <is>
          <t>高</t>
        </is>
      </c>
      <c r="G25" s="15" t="inlineStr">
        <is>
          <t>https://www.prnewswire.com/news-releases/insta360-previews-new-luna-series-and-major-updates-at-nab-show-2026-302746651.html</t>
        </is>
      </c>
    </row>
    <row r="26">
      <c r="A26" s="19" t="inlineStr">
        <is>
          <t>3C</t>
        </is>
      </c>
      <c r="B26" s="17" t="inlineStr">
        <is>
          <t>美国</t>
        </is>
      </c>
      <c r="C26" s="17" t="inlineStr">
        <is>
          <t>造型工具和设备</t>
        </is>
      </c>
      <c r="D26" s="17" t="inlineStr">
        <is>
          <t>Laifen</t>
        </is>
      </c>
      <c r="E26" s="17" t="inlineStr">
        <is>
          <t>2026-01-05，Laifen在CES发布Mini Hair Dryer、Swift 4 Hair Dryer等个人护理创新新品。</t>
        </is>
      </c>
      <c r="F26" s="17" t="inlineStr">
        <is>
          <t>高</t>
        </is>
      </c>
      <c r="G26" s="18" t="inlineStr">
        <is>
          <t>https://www.prnewswire.com/news-releases/laifen-unveils-new-cutting-edge-personal-care-innovations-at-ces-302653217.html</t>
        </is>
      </c>
    </row>
    <row r="27">
      <c r="A27" s="16" t="inlineStr">
        <is>
          <t>3C</t>
        </is>
      </c>
      <c r="B27" s="14" t="inlineStr">
        <is>
          <t>美国</t>
        </is>
      </c>
      <c r="C27" s="14" t="inlineStr">
        <is>
          <t>监控和安全摄像头</t>
        </is>
      </c>
      <c r="D27" s="14" t="inlineStr">
        <is>
          <t>REOLINK</t>
        </is>
      </c>
      <c r="E27" s="14" t="inlineStr">
        <is>
          <t>2026-01-07，Reolink在CES 2026发布AI Box和24MP三镜头旗舰安全摄像头，强化无订阅AI安防路线。</t>
        </is>
      </c>
      <c r="F27" s="14" t="inlineStr">
        <is>
          <t>高</t>
        </is>
      </c>
      <c r="G27" s="15" t="inlineStr">
        <is>
          <t>https://www.eqs-news.com/news/corporate-news/reolink-reveals-new-ai-box-and-flagship-24-mp-triple-lens-security-camera-at-ces-2026/5dac6197-d849-4ad2-95e6-32060d443a67_en</t>
        </is>
      </c>
    </row>
    <row r="28">
      <c r="A28" s="19" t="inlineStr">
        <is>
          <t>3C</t>
        </is>
      </c>
      <c r="B28" s="17" t="inlineStr">
        <is>
          <t>美国</t>
        </is>
      </c>
      <c r="C28" s="17" t="inlineStr">
        <is>
          <t>监控和安全摄像头</t>
        </is>
      </c>
      <c r="D28" s="17" t="inlineStr">
        <is>
          <t>REOLINK</t>
        </is>
      </c>
      <c r="E28" s="17" t="inlineStr">
        <is>
          <t>2026-01-26，Reolink发布TrackFlex Floodlight WiFi，4K双镜头、360°覆盖、本地AI视频搜索，已在美国上市。</t>
        </is>
      </c>
      <c r="F28" s="17" t="inlineStr">
        <is>
          <t>高</t>
        </is>
      </c>
      <c r="G28" s="18" t="inlineStr">
        <is>
          <t>https://www.prnewswire.com/news-releases/reolink-launches-trackflex-floodlight-wifi-with-360-degree-coverage-302669821.html</t>
        </is>
      </c>
    </row>
    <row r="29">
      <c r="A29" s="16" t="inlineStr">
        <is>
          <t>3C</t>
        </is>
      </c>
      <c r="B29" s="14" t="inlineStr">
        <is>
          <t>美国</t>
        </is>
      </c>
      <c r="C29" s="14" t="inlineStr">
        <is>
          <t>真空吸尘器和地板护理</t>
        </is>
      </c>
      <c r="D29" s="14" t="inlineStr">
        <is>
          <t>roborock</t>
        </is>
      </c>
      <c r="E29" s="14" t="inlineStr">
        <is>
          <t>2026-01-06/01-12，CES 2026发布Saros Rover、Saros 20等，并官宣Real Madrid合作；2026-03-23北美发布Saros 20。</t>
        </is>
      </c>
      <c r="F29" s="14" t="inlineStr">
        <is>
          <t>高</t>
        </is>
      </c>
      <c r="G29" s="15" t="inlineStr">
        <is>
          <t>https://www.prnewswire.com/news-releases/ces-2026-roborock-releases-the-worlds-first-robotic-vacuum-with-wheel-leg-architecture-as-it-joins-hands-with-real-madrid-football-club-302658186.html
https://www.prnewswire.com/news-releases/roborock-launches-saros-20-in-north-america--engineered-for-complex-high-end-homes-and-real-world-ai-cleaning-302714269.html
https://newsroom.roborock.com/gl/news/ces-2026-roborock-releases-the-world-s-first-robotic-vacuum-with-wheel-leg-architecture-as-it-joins-hands-with-real-madrid-football-club-</t>
        </is>
      </c>
    </row>
    <row r="30">
      <c r="A30" s="19" t="inlineStr">
        <is>
          <t>3C</t>
        </is>
      </c>
      <c r="B30" s="17" t="inlineStr">
        <is>
          <t>美国</t>
        </is>
      </c>
      <c r="C30" s="17" t="inlineStr">
        <is>
          <t>真空吸尘器和地板护理</t>
        </is>
      </c>
      <c r="D30" s="17" t="inlineStr">
        <is>
          <t>roborock</t>
        </is>
      </c>
      <c r="E30" s="17" t="inlineStr">
        <is>
          <t>2026-03-23，Roborock在北美发布Saros 20，把CES 2026的AI架构落地为面向高端家庭的旗舰产品。</t>
        </is>
      </c>
      <c r="F30" s="17" t="inlineStr">
        <is>
          <t>高</t>
        </is>
      </c>
      <c r="G30" s="18" t="inlineStr">
        <is>
          <t>https://www.newswire.ca/news-releases/roborock-launches-saros-20-in-north-america-engineered-for-complex-high-end-homes-and-real-world-ai-cleaning-302714269.html</t>
        </is>
      </c>
    </row>
    <row r="31">
      <c r="A31" s="16" t="inlineStr">
        <is>
          <t>3C</t>
        </is>
      </c>
      <c r="B31" s="14" t="inlineStr">
        <is>
          <t>美国</t>
        </is>
      </c>
      <c r="C31" s="14" t="inlineStr">
        <is>
          <t>真空吸尘器和地板护理</t>
        </is>
      </c>
      <c r="D31" s="14" t="inlineStr">
        <is>
          <t>roborock</t>
        </is>
      </c>
      <c r="E31" s="14" t="inlineStr">
        <is>
          <t>2026-03-28，Roborock将CES 2026 headline launches带到澳洲，说明新品节奏从展会扩散到区域上市。</t>
        </is>
      </c>
      <c r="F31" s="14" t="inlineStr">
        <is>
          <t>高</t>
        </is>
      </c>
      <c r="G31" s="15" t="inlineStr">
        <is>
          <t>https://www.prnewswire.com/apac/news-releases/roborock-brings-its-ces-2026-headline-launches-to-australia-302727299.html</t>
        </is>
      </c>
    </row>
    <row r="32">
      <c r="A32" s="19" t="inlineStr">
        <is>
          <t>3C</t>
        </is>
      </c>
      <c r="B32" s="17" t="inlineStr">
        <is>
          <t>美国</t>
        </is>
      </c>
      <c r="C32" s="17" t="inlineStr">
        <is>
          <t>真空吸尘器和地板护理</t>
        </is>
      </c>
      <c r="D32" s="17" t="inlineStr">
        <is>
          <t>roborock</t>
        </is>
      </c>
      <c r="E32" s="17" t="inlineStr">
        <is>
          <t>2026-01-11，Roborock在CES 2026发布轮腿架构扫地机器人Saros Rover，并与Real Madrid合作，强化高端品牌叙事。</t>
        </is>
      </c>
      <c r="F32" s="17" t="inlineStr">
        <is>
          <t>高</t>
        </is>
      </c>
      <c r="G32" s="18" t="inlineStr">
        <is>
          <t>https://sg.finance.yahoo.com/news/ces-2026-roborock-releases-worlds-054500301.html</t>
        </is>
      </c>
    </row>
    <row r="33">
      <c r="A33" s="16" t="inlineStr">
        <is>
          <t>3C</t>
        </is>
      </c>
      <c r="B33" s="14" t="inlineStr">
        <is>
          <t>美国</t>
        </is>
      </c>
      <c r="C33" s="14" t="inlineStr">
        <is>
          <t>真空吸尘器和地板护理</t>
        </is>
      </c>
      <c r="D33" s="14" t="inlineStr">
        <is>
          <t>roborock</t>
        </is>
      </c>
      <c r="E33" s="14" t="inlineStr">
        <is>
          <t>2026-03-12，Roborock引用IDC成为全球No.1智能清洁机器人品牌，并回扣CES 2026 Saros Z70/Saros Rover技术线。</t>
        </is>
      </c>
      <c r="F33" s="14" t="inlineStr">
        <is>
          <t>高</t>
        </is>
      </c>
      <c r="G33" s="15" t="inlineStr">
        <is>
          <t>https://www.taiwannews.com.tw/news/6319016</t>
        </is>
      </c>
    </row>
    <row r="34">
      <c r="A34" s="19" t="inlineStr">
        <is>
          <t>3C</t>
        </is>
      </c>
      <c r="B34" s="17" t="inlineStr">
        <is>
          <t>美国</t>
        </is>
      </c>
      <c r="C34" s="17" t="inlineStr">
        <is>
          <t>穿戴式科技</t>
        </is>
      </c>
      <c r="D34" s="17" t="inlineStr">
        <is>
          <t>Rokid</t>
        </is>
      </c>
      <c r="E34" s="17" t="inlineStr">
        <is>
          <t>2025-12-29/2026 CES窗口，Rokid预告AI Glasses Style并参加CES 2026，虽然发布时间在2025年底，但事件窗口是2026 CES。</t>
        </is>
      </c>
      <c r="F34" s="17" t="inlineStr">
        <is>
          <t>高</t>
        </is>
      </c>
      <c r="G34" s="18" t="inlineStr">
        <is>
          <t>https://www.prnewswire.com/news-releases/rokid-previews-ai-glasses-style-ahead-of-ces-2026-302649916.html</t>
        </is>
      </c>
    </row>
    <row r="35">
      <c r="A35" s="16" t="inlineStr">
        <is>
          <t>3C</t>
        </is>
      </c>
      <c r="B35" s="14" t="inlineStr">
        <is>
          <t>美国</t>
        </is>
      </c>
      <c r="C35" s="14" t="inlineStr">
        <is>
          <t>耳机和耳机</t>
        </is>
      </c>
      <c r="D35" s="14" t="inlineStr">
        <is>
          <t>Shokz</t>
        </is>
      </c>
      <c r="E35" s="14" t="inlineStr">
        <is>
          <t>2026-01-05，Shokz获得多项2026 CES Innovation Awards，并预告1月6日发布新的开放式音频旗舰。</t>
        </is>
      </c>
      <c r="F35" s="14" t="inlineStr">
        <is>
          <t>高</t>
        </is>
      </c>
      <c r="G35" s="15" t="inlineStr">
        <is>
          <t>https://www.prnewswire.com/news-releases/shokz-earns-multiple-2026-ces-innovation-awards-and-previews-whats-next-for-open-ear-audio-at-ces-2026-302652756.html</t>
        </is>
      </c>
    </row>
    <row r="36">
      <c r="A36" s="19" t="inlineStr">
        <is>
          <t>3C</t>
        </is>
      </c>
      <c r="B36" s="17" t="inlineStr">
        <is>
          <t>美国</t>
        </is>
      </c>
      <c r="C36" s="17" t="inlineStr">
        <is>
          <t>耳机和耳机</t>
        </is>
      </c>
      <c r="D36" s="17" t="inlineStr">
        <is>
          <t>Shokz</t>
        </is>
      </c>
      <c r="E36" s="17" t="inlineStr">
        <is>
          <t>2026-01-06，Shokz发布OpenFit Pro，主打Open-Ear Noise Reduction，开放式音频进入降噪叙事。</t>
        </is>
      </c>
      <c r="F36" s="17" t="inlineStr">
        <is>
          <t>高</t>
        </is>
      </c>
      <c r="G36" s="18" t="inlineStr">
        <is>
          <t>https://finance.yahoo.com/news/shokz-introduces-openfit-pro-era-190000742.html</t>
        </is>
      </c>
    </row>
    <row r="37">
      <c r="A37" s="16" t="inlineStr">
        <is>
          <t>3C</t>
        </is>
      </c>
      <c r="B37" s="14" t="inlineStr">
        <is>
          <t>美国</t>
        </is>
      </c>
      <c r="C37" s="14" t="inlineStr">
        <is>
          <t>手机和配件</t>
        </is>
      </c>
      <c r="D37" s="14" t="inlineStr">
        <is>
          <t>Soundcore</t>
        </is>
      </c>
      <c r="E37" s="14" t="inlineStr">
        <is>
          <t>2026-01-06，随Anker Innovations CES 2026组合展示娱乐设备，适合追踪TWS/开放式音频新品。</t>
        </is>
      </c>
      <c r="F37" s="14" t="inlineStr">
        <is>
          <t>高</t>
        </is>
      </c>
      <c r="G37" s="15" t="inlineStr">
        <is>
          <t>https://www.prnewswire.com/apac/news-releases/anker-innovations-showcases-iconic-lineup-of-charging-smart-home-and-entertainment-devices-during-ces-2026-302653788.html</t>
        </is>
      </c>
    </row>
    <row r="38">
      <c r="A38" s="19" t="inlineStr">
        <is>
          <t>3C</t>
        </is>
      </c>
      <c r="B38" s="17" t="inlineStr">
        <is>
          <t>美国</t>
        </is>
      </c>
      <c r="C38" s="17" t="inlineStr">
        <is>
          <t>真空吸尘器和地板护理</t>
        </is>
      </c>
      <c r="D38" s="17" t="inlineStr">
        <is>
          <t>Tineco</t>
        </is>
      </c>
      <c r="E38" s="17" t="inlineStr">
        <is>
          <t>2026-01-01/01-15，Tineco在CES 2026发布Modern Living智能清洁组合，含FLOOR ONE S9 Scientist、Station S9 Artist、i7 Fold；BusinessWire有展后媒体认可复盘。</t>
        </is>
      </c>
      <c r="F38" s="17" t="inlineStr">
        <is>
          <t>高</t>
        </is>
      </c>
      <c r="G38" s="18" t="inlineStr">
        <is>
          <t>https://www.prnewswire.com/news-releases/tineco-debuts-modern-living-concept-and-latest-smart-cleaning-portfolio-at-ces-2026-302642003.html
https://www.businesswire.com/news/home/20260114348769/en/At-CES-2026-Tineco-Establishes-Itself-as-a-Benchmark-in-the-Smart-Home
https://us.tineco.com/events/ces-2026</t>
        </is>
      </c>
    </row>
    <row r="39">
      <c r="A39" s="16" t="inlineStr">
        <is>
          <t>3C</t>
        </is>
      </c>
      <c r="B39" s="14" t="inlineStr">
        <is>
          <t>美国</t>
        </is>
      </c>
      <c r="C39" s="14" t="inlineStr">
        <is>
          <t>真空吸尘器和地板护理</t>
        </is>
      </c>
      <c r="D39" s="14" t="inlineStr">
        <is>
          <t>Tineco</t>
        </is>
      </c>
      <c r="E39" s="14" t="inlineStr">
        <is>
          <t>2026-01-01，Tineco在CES 2026发布Modern Living Concept与智能清洁产品组合，包含FLOOR ONE S9 Scientist等新品。</t>
        </is>
      </c>
      <c r="F39" s="14" t="inlineStr">
        <is>
          <t>高</t>
        </is>
      </c>
      <c r="G39" s="15" t="inlineStr">
        <is>
          <t>https://www.prnewswire.com/news-releases/tineco-debuts-modern-living-concept-and-latest-smart-cleaning-portfolio-at-ces-2026-302642003.html</t>
        </is>
      </c>
    </row>
    <row r="40">
      <c r="A40" s="19" t="inlineStr">
        <is>
          <t>3C</t>
        </is>
      </c>
      <c r="B40" s="17" t="inlineStr">
        <is>
          <t>美国</t>
        </is>
      </c>
      <c r="C40" s="17" t="inlineStr">
        <is>
          <t>真空吸尘器和地板护理</t>
        </is>
      </c>
      <c r="D40" s="17" t="inlineStr">
        <is>
          <t>Tineco</t>
        </is>
      </c>
      <c r="E40" s="17" t="inlineStr">
        <is>
          <t>2026-01-13，Tineco披露FLOOR ONE S9 Scientist成为CES 2026组合中最获媒体认可的产品，适合作为达人测评钩子。</t>
        </is>
      </c>
      <c r="F40" s="17" t="inlineStr">
        <is>
          <t>高</t>
        </is>
      </c>
      <c r="G40" s="18" t="inlineStr">
        <is>
          <t>https://www.prnewswire.com/news-releases/tinecos-modern-living-vision-earns-global-media-recognition-at-ces-2026-302657790.html</t>
        </is>
      </c>
    </row>
    <row r="41">
      <c r="A41" s="16" t="inlineStr">
        <is>
          <t>3C</t>
        </is>
      </c>
      <c r="B41" s="14" t="inlineStr">
        <is>
          <t>美国</t>
        </is>
      </c>
      <c r="C41" s="14" t="inlineStr">
        <is>
          <t>真空吸尘器和地板护理</t>
        </is>
      </c>
      <c r="D41" s="14" t="inlineStr">
        <is>
          <t>Tineco</t>
        </is>
      </c>
      <c r="E41" s="14" t="inlineStr">
        <is>
          <t>2026-01-20，Tineco在加拿大推出FLOOR ONE S9 Artist Steam，显示CES后新品进入北美区域上市节奏。</t>
        </is>
      </c>
      <c r="F41" s="14" t="inlineStr">
        <is>
          <t>高</t>
        </is>
      </c>
      <c r="G41" s="15" t="inlineStr">
        <is>
          <t>https://www.newswire.ca/news-releases/tineco-launches-floor-one-s9-artist-steam-in-canada-302664704.html</t>
        </is>
      </c>
    </row>
    <row r="42">
      <c r="A42" s="19" t="inlineStr">
        <is>
          <t>3C</t>
        </is>
      </c>
      <c r="B42" s="17" t="inlineStr">
        <is>
          <t>美国</t>
        </is>
      </c>
      <c r="C42" s="17" t="inlineStr">
        <is>
          <t>真空吸尘器和地板护理</t>
        </is>
      </c>
      <c r="D42" s="17" t="inlineStr">
        <is>
          <t>Tineco</t>
        </is>
      </c>
      <c r="E42" s="17" t="inlineStr">
        <is>
          <t>2026-01-27，Tineco发布更平衡的智能地板护理产品线，延续CES后的现代家庭清洁叙事。</t>
        </is>
      </c>
      <c r="F42" s="17" t="inlineStr">
        <is>
          <t>高</t>
        </is>
      </c>
      <c r="G42" s="18" t="inlineStr">
        <is>
          <t>https://www.prnewswire.com/news-releases/tineco-elevates-modern-living-with-a-smarter-more-balanced-floor-care-portfolio-302671067.html</t>
        </is>
      </c>
    </row>
    <row r="43">
      <c r="A43" s="16" t="inlineStr">
        <is>
          <t>3C</t>
        </is>
      </c>
      <c r="B43" s="14" t="inlineStr">
        <is>
          <t>美国</t>
        </is>
      </c>
      <c r="C43" s="14" t="inlineStr">
        <is>
          <t>电子配件和用品</t>
        </is>
      </c>
      <c r="D43" s="14" t="inlineStr">
        <is>
          <t>UGREEN</t>
        </is>
      </c>
      <c r="E43" s="14" t="inlineStr">
        <is>
          <t>2026-01-06，UGREEN在CES 2026发布Activate Smarter Living生态，重点推出NASync iDX6011/iDX6011 Pro AI NAS、家用安防和高阶充电产品。</t>
        </is>
      </c>
      <c r="F43" s="14" t="inlineStr">
        <is>
          <t>高</t>
        </is>
      </c>
      <c r="G43" s="15" t="inlineStr">
        <is>
          <t>https://www.prnewswire.com/news-releases/ugreen-debuts-new-smart-ecosystem-at-ces-2026-led-by-ai-nas-302651304.html</t>
        </is>
      </c>
    </row>
    <row r="44">
      <c r="A44" s="19" t="inlineStr">
        <is>
          <t>3C</t>
        </is>
      </c>
      <c r="B44" s="17" t="inlineStr">
        <is>
          <t>美国</t>
        </is>
      </c>
      <c r="C44" s="17" t="inlineStr">
        <is>
          <t>电子配件和用品</t>
        </is>
      </c>
      <c r="D44" s="17" t="inlineStr">
        <is>
          <t>UGREEN</t>
        </is>
      </c>
      <c r="E44" s="17" t="inlineStr">
        <is>
          <t>2026-01-09，UGREEN发布AI NAS生态，强调智能存储、家庭安防和高级充电，说明从配件向智能生态迁移。</t>
        </is>
      </c>
      <c r="F44" s="17" t="inlineStr">
        <is>
          <t>高</t>
        </is>
      </c>
      <c r="G44" s="18" t="inlineStr">
        <is>
          <t>https://www.prnewswire.com/news-releases/ugreen-unveils-ai-nas-ecosystem-at-ces-2026-spotlighting-smart-storages-future-302657703.html</t>
        </is>
      </c>
    </row>
    <row r="45">
      <c r="A45" s="16" t="inlineStr">
        <is>
          <t>3C</t>
        </is>
      </c>
      <c r="B45" s="14" t="inlineStr">
        <is>
          <t>美国</t>
        </is>
      </c>
      <c r="C45" s="14" t="inlineStr">
        <is>
          <t>电视和视频产品</t>
        </is>
      </c>
      <c r="D45" s="14" t="inlineStr">
        <is>
          <t>UGREEN</t>
        </is>
      </c>
      <c r="E45" s="14" t="inlineStr">
        <is>
          <t>2026-01-13，UGREEN在CES 2026发布AI NAS领衔的新智能生态；2025年有Best Buy/Walmart渠道扩张与Qi2 25W MagFlow新品。</t>
        </is>
      </c>
      <c r="F45" s="14" t="inlineStr">
        <is>
          <t>高</t>
        </is>
      </c>
      <c r="G45" s="15" t="inlineStr">
        <is>
          <t>https://www.ugreen.com/en-gb/blogs/news/ugreen-debuts-new-smart-ecosystem-at-ces-2026-led-by-ai-nas
https://www.forbes.com/sites/marksparrow/2026/01/06/ugreen-unveils-new-ai-nas-smart-security-and-massive-300w-charger-at-ces-2026/
https://www.ugreen.com/en-ae/blogs/news</t>
        </is>
      </c>
    </row>
    <row r="46">
      <c r="A46" s="19" t="inlineStr">
        <is>
          <t>3C</t>
        </is>
      </c>
      <c r="B46" s="17" t="inlineStr">
        <is>
          <t>美国</t>
        </is>
      </c>
      <c r="C46" s="17" t="inlineStr">
        <is>
          <t>造型工具和设备</t>
        </is>
      </c>
      <c r="D46" s="17" t="inlineStr">
        <is>
          <t>Ulike</t>
        </is>
      </c>
      <c r="E46" s="17" t="inlineStr">
        <is>
          <t>2026-04-27，Ulike通过PRNewswire发布Santa Monica/New York线下wellness events，且称其在Amazon IPL品类表现领先。</t>
        </is>
      </c>
      <c r="F46" s="17" t="inlineStr">
        <is>
          <t>高</t>
        </is>
      </c>
      <c r="G46" s="18" t="inlineStr">
        <is>
          <t>https://www.prnewswire.com/news-releases/ulike-hosts-glow-state-of-mind-wellness-events-across-santa-monica-and-new-york-302754299.html</t>
        </is>
      </c>
    </row>
    <row r="47">
      <c r="A47" s="16" t="inlineStr">
        <is>
          <t>3C</t>
        </is>
      </c>
      <c r="B47" s="14" t="inlineStr">
        <is>
          <t>美国</t>
        </is>
      </c>
      <c r="C47" s="14" t="inlineStr">
        <is>
          <t>造型工具和设备</t>
        </is>
      </c>
      <c r="D47" s="14" t="inlineStr">
        <is>
          <t>Ulike</t>
        </is>
      </c>
      <c r="E47" s="14" t="inlineStr">
        <is>
          <t>2026-03-10，Ulike发布Spring: Dare to Glow女性活动PR，属于品牌内容/线下活动信号。</t>
        </is>
      </c>
      <c r="F47" s="14" t="inlineStr">
        <is>
          <t>高</t>
        </is>
      </c>
      <c r="G47" s="15" t="inlineStr">
        <is>
          <t>https://www.manilatimes.net/2026/03/10/tmt-newswire/pr-newswire/ulike-spring-dare-to-glow-celebrating-confident-and-aspirational-women/2296248</t>
        </is>
      </c>
    </row>
    <row r="48">
      <c r="A48" s="19" t="inlineStr">
        <is>
          <t>3C</t>
        </is>
      </c>
      <c r="B48" s="17" t="inlineStr">
        <is>
          <t>美国</t>
        </is>
      </c>
      <c r="C48" s="17" t="inlineStr">
        <is>
          <t>政策</t>
        </is>
      </c>
      <c r="D48" s="17" t="inlineStr">
        <is>
          <t>3C行业政策</t>
        </is>
      </c>
      <c r="E48" s="17" t="inlineStr">
        <is>
          <t>2026-05-18，智能终端智能化分级国标报道提及移动终端、微型计算机、电视、眼镜、汽车座舱、音箱、耳机等7类智能终端分级，利好AI硬件/智能终端叙事。</t>
        </is>
      </c>
      <c r="F48" s="17" t="inlineStr">
        <is>
          <t>中</t>
        </is>
      </c>
      <c r="G48" s="18" t="inlineStr">
        <is>
          <t>https://gxt.fujian.gov.cn/zwgk/xw/hydt/xydt/202605/t20260518_7149229.htm</t>
        </is>
      </c>
    </row>
    <row r="49">
      <c r="A49" s="16" t="inlineStr">
        <is>
          <t>3C</t>
        </is>
      </c>
      <c r="B49" s="14" t="inlineStr">
        <is>
          <t>美国</t>
        </is>
      </c>
      <c r="C49" s="14" t="inlineStr">
        <is>
          <t>真空吸尘器和地板护理</t>
        </is>
      </c>
      <c r="D49" s="14" t="inlineStr">
        <is>
          <t>Aiper</t>
        </is>
      </c>
      <c r="E49" s="14" t="inlineStr">
        <is>
          <t>2026年，Aiper官网CES 2026专题页展示smart yard ecosystem，含泳池清洁、灌溉、skimmer等户外机器人产品线。</t>
        </is>
      </c>
      <c r="F49" s="14" t="inlineStr">
        <is>
          <t>中</t>
        </is>
      </c>
      <c r="G49" s="15" t="inlineStr">
        <is>
          <t>https://aiper.com/us/aiper-ces-2026</t>
        </is>
      </c>
    </row>
    <row r="50">
      <c r="A50" s="19" t="inlineStr">
        <is>
          <t>3C</t>
        </is>
      </c>
      <c r="B50" s="17" t="inlineStr">
        <is>
          <t>美国</t>
        </is>
      </c>
      <c r="C50" s="17" t="inlineStr">
        <is>
          <t>穿戴式科技</t>
        </is>
      </c>
      <c r="D50" s="17" t="inlineStr">
        <is>
          <t>Amazfit</t>
        </is>
      </c>
      <c r="E50" s="17" t="inlineStr">
        <is>
          <t>2026年按Zepp Health/Amazfit健康可穿戴新品、CES和AI健康功能追踪；官方站为主体入口。</t>
        </is>
      </c>
      <c r="F50" s="17" t="inlineStr">
        <is>
          <t>中</t>
        </is>
      </c>
      <c r="G50" s="18" t="inlineStr">
        <is>
          <t>https://www.amazfit.com/</t>
        </is>
      </c>
    </row>
    <row r="51">
      <c r="A51" s="16" t="inlineStr">
        <is>
          <t>3C</t>
        </is>
      </c>
      <c r="B51" s="14" t="inlineStr">
        <is>
          <t>美国</t>
        </is>
      </c>
      <c r="C51" s="14" t="inlineStr">
        <is>
          <t>电子配件和用品</t>
        </is>
      </c>
      <c r="D51" s="14" t="inlineStr">
        <is>
          <t>Anker</t>
        </is>
      </c>
      <c r="E51" s="14" t="inlineStr">
        <is>
          <t>2026-03，HuffPost Spain报道Anker在MWC 2026展示Qi2 25W三合一无线充、智能屏Nano充电器，并同步展示soundcore/eufy新品。</t>
        </is>
      </c>
      <c r="F51" s="14" t="inlineStr">
        <is>
          <t>中</t>
        </is>
      </c>
      <c r="G51" s="15" t="inlineStr">
        <is>
          <t>https://www.huffingtonpost.es/tecnologia/anker-presenta-mwc-cargadores-inteligentes-paso-frente-robotica-domestica-f202603.html</t>
        </is>
      </c>
    </row>
    <row r="52">
      <c r="A52" s="19" t="inlineStr">
        <is>
          <t>3C</t>
        </is>
      </c>
      <c r="B52" s="17" t="inlineStr">
        <is>
          <t>美国</t>
        </is>
      </c>
      <c r="C52" s="17" t="inlineStr">
        <is>
          <t>增材制造产品</t>
        </is>
      </c>
      <c r="D52" s="17" t="inlineStr">
        <is>
          <t>ANYCUBIC</t>
        </is>
      </c>
      <c r="E52" s="17" t="inlineStr">
        <is>
          <t>2026年按消费级3D打印机、光固化/多色和耗材生态追踪；官方站为主体入口。</t>
        </is>
      </c>
      <c r="F52" s="17" t="inlineStr">
        <is>
          <t>中</t>
        </is>
      </c>
      <c r="G52" s="18" t="inlineStr">
        <is>
          <t>https://store.anycubic.com/</t>
        </is>
      </c>
    </row>
    <row r="53">
      <c r="A53" s="16" t="inlineStr">
        <is>
          <t>3C</t>
        </is>
      </c>
      <c r="B53" s="14" t="inlineStr">
        <is>
          <t>美国</t>
        </is>
      </c>
      <c r="C53" s="14" t="inlineStr">
        <is>
          <t>安全与安保</t>
        </is>
      </c>
      <c r="D53" s="14" t="inlineStr">
        <is>
          <t>aosu</t>
        </is>
      </c>
      <c r="E53" s="14" t="inlineStr">
        <is>
          <t>2026年按无订阅安防摄像头、Cortex/T2 Ultra等AI安防新品追踪；官方站为主体入口。</t>
        </is>
      </c>
      <c r="F53" s="14" t="inlineStr">
        <is>
          <t>中</t>
        </is>
      </c>
      <c r="G53" s="15" t="inlineStr">
        <is>
          <t>https://www.aosulife.com/</t>
        </is>
      </c>
    </row>
    <row r="54">
      <c r="A54" s="19" t="inlineStr">
        <is>
          <t>3C</t>
        </is>
      </c>
      <c r="B54" s="17" t="inlineStr">
        <is>
          <t>美国</t>
        </is>
      </c>
      <c r="C54" s="17" t="inlineStr">
        <is>
          <t>监控和安全摄像头</t>
        </is>
      </c>
      <c r="D54" s="17" t="inlineStr">
        <is>
          <t>Aqara</t>
        </is>
      </c>
      <c r="E54" s="17" t="inlineStr">
        <is>
          <t>2026年按智能家居/Matter/摄像头/门锁新品和美国渠道追踪；官方美国站为主体入口。</t>
        </is>
      </c>
      <c r="F54" s="17" t="inlineStr">
        <is>
          <t>中</t>
        </is>
      </c>
      <c r="G54" s="18" t="inlineStr">
        <is>
          <t>https://www.aqara.com/us/</t>
        </is>
      </c>
    </row>
    <row r="55">
      <c r="A55" s="16" t="inlineStr">
        <is>
          <t>3C</t>
        </is>
      </c>
      <c r="B55" s="14" t="inlineStr">
        <is>
          <t>美国</t>
        </is>
      </c>
      <c r="C55" s="14" t="inlineStr">
        <is>
          <t>汽车工具和设备</t>
        </is>
      </c>
      <c r="D55" s="14" t="inlineStr">
        <is>
          <t>Autel</t>
        </is>
      </c>
      <c r="E55" s="14" t="inlineStr">
        <is>
          <t>2026年按汽车诊断/扫描工具、新能源车维修设备和美国渠道追踪；官方站为主体入口。</t>
        </is>
      </c>
      <c r="F55" s="14" t="inlineStr">
        <is>
          <t>中</t>
        </is>
      </c>
      <c r="G55" s="15" t="inlineStr">
        <is>
          <t>https://www.autel.com/</t>
        </is>
      </c>
    </row>
    <row r="56">
      <c r="A56" s="19" t="inlineStr">
        <is>
          <t>3C</t>
        </is>
      </c>
      <c r="B56" s="17" t="inlineStr">
        <is>
          <t>美国</t>
        </is>
      </c>
      <c r="C56" s="17" t="inlineStr">
        <is>
          <t>增材制造产品</t>
        </is>
      </c>
      <c r="D56" s="17" t="inlineStr">
        <is>
          <t>BAMBULAB</t>
        </is>
      </c>
      <c r="E56" s="17" t="inlineStr">
        <is>
          <t>2026年按多色3D打印、耗材生态和桌面消费级扩张追踪；官方站为主体入口。</t>
        </is>
      </c>
      <c r="F56" s="17" t="inlineStr">
        <is>
          <t>中</t>
        </is>
      </c>
      <c r="G56" s="18" t="inlineStr">
        <is>
          <t>https://bambulab.com/</t>
        </is>
      </c>
    </row>
    <row r="57">
      <c r="A57" s="16" t="inlineStr">
        <is>
          <t>3C</t>
        </is>
      </c>
      <c r="B57" s="14" t="inlineStr">
        <is>
          <t>美国</t>
        </is>
      </c>
      <c r="C57" s="14" t="inlineStr">
        <is>
          <t>监控和安全摄像头</t>
        </is>
      </c>
      <c r="D57" s="14" t="inlineStr">
        <is>
          <t>Baseus</t>
        </is>
      </c>
      <c r="E57" s="14" t="inlineStr">
        <is>
          <t>2026年，Baseus官网X1 Pro产品页持续运营，提供beta testing/newsletter入口；官网存在与产品页可用于非白牌校验。</t>
        </is>
      </c>
      <c r="F57" s="14" t="inlineStr">
        <is>
          <t>中</t>
        </is>
      </c>
      <c r="G57" s="15" t="inlineStr">
        <is>
          <t>https://www.baseus.com/pages/security-x1-pro</t>
        </is>
      </c>
    </row>
    <row r="58">
      <c r="A58" s="19" t="inlineStr">
        <is>
          <t>3C</t>
        </is>
      </c>
      <c r="B58" s="17" t="inlineStr">
        <is>
          <t>美国</t>
        </is>
      </c>
      <c r="C58" s="17" t="inlineStr">
        <is>
          <t>耳机和耳机</t>
        </is>
      </c>
      <c r="D58" s="17" t="inlineStr">
        <is>
          <t>Baseus</t>
        </is>
      </c>
      <c r="E58" s="17" t="inlineStr">
        <is>
          <t>2026年重点追踪Baseus Security、Qi2/充电、开放式耳机等新品；官网已将Security Camera列为核心产品线。</t>
        </is>
      </c>
      <c r="F58" s="17" t="inlineStr">
        <is>
          <t>中</t>
        </is>
      </c>
      <c r="G58" s="18" t="inlineStr">
        <is>
          <t>https://www.baseus.com/
https://www.baseus.com/pages/about-us</t>
        </is>
      </c>
    </row>
    <row r="59">
      <c r="A59" s="16" t="inlineStr">
        <is>
          <t>3C</t>
        </is>
      </c>
      <c r="B59" s="14" t="inlineStr">
        <is>
          <t>美国</t>
        </is>
      </c>
      <c r="C59" s="14" t="inlineStr">
        <is>
          <t>电脑平板电脑</t>
        </is>
      </c>
      <c r="D59" s="14" t="inlineStr">
        <is>
          <t>BOOX</t>
        </is>
      </c>
      <c r="E59" s="14" t="inlineStr">
        <is>
          <t>2026年按e-ink平板/类纸书写/Android开放生态新品追踪；官方站为主体入口。</t>
        </is>
      </c>
      <c r="F59" s="14" t="inlineStr">
        <is>
          <t>中</t>
        </is>
      </c>
      <c r="G59" s="15" t="inlineStr">
        <is>
          <t>https://shop.boox.com/</t>
        </is>
      </c>
    </row>
    <row r="60">
      <c r="A60" s="19" t="inlineStr">
        <is>
          <t>3C</t>
        </is>
      </c>
      <c r="B60" s="17" t="inlineStr">
        <is>
          <t>美国</t>
        </is>
      </c>
      <c r="C60" s="17" t="inlineStr">
        <is>
          <t>厨房小家电</t>
        </is>
      </c>
      <c r="D60" s="17" t="inlineStr">
        <is>
          <t>COSORI</t>
        </is>
      </c>
      <c r="E60" s="17" t="inlineStr">
        <is>
          <t>2026年按空气炸锅、TikTok食谱内容、厨电新品和渠道扩张追踪；官方站为主体入口。</t>
        </is>
      </c>
      <c r="F60" s="17" t="inlineStr">
        <is>
          <t>中</t>
        </is>
      </c>
      <c r="G60" s="18" t="inlineStr">
        <is>
          <t>https://cosori.com/</t>
        </is>
      </c>
    </row>
    <row r="61">
      <c r="A61" s="16" t="inlineStr">
        <is>
          <t>3C</t>
        </is>
      </c>
      <c r="B61" s="14" t="inlineStr">
        <is>
          <t>美国</t>
        </is>
      </c>
      <c r="C61" s="14" t="inlineStr">
        <is>
          <t>增材制造产品</t>
        </is>
      </c>
      <c r="D61" s="14" t="inlineStr">
        <is>
          <t>Creality</t>
        </is>
      </c>
      <c r="E61" s="14" t="inlineStr">
        <is>
          <t>2026年按3D打印机/多色打印/耗材生态、CES/RAPID+TCT新品追踪；官方站为主体入口。</t>
        </is>
      </c>
      <c r="F61" s="14" t="inlineStr">
        <is>
          <t>中</t>
        </is>
      </c>
      <c r="G61" s="15" t="inlineStr">
        <is>
          <t>https://www.creality.com/</t>
        </is>
      </c>
    </row>
    <row r="62">
      <c r="A62" s="19" t="inlineStr">
        <is>
          <t>3C</t>
        </is>
      </c>
      <c r="B62" s="17" t="inlineStr">
        <is>
          <t>美国</t>
        </is>
      </c>
      <c r="C62" s="17" t="inlineStr">
        <is>
          <t>增材制造产品</t>
        </is>
      </c>
      <c r="D62" s="17" t="inlineStr">
        <is>
          <t>Creality</t>
        </is>
      </c>
      <c r="E62" s="17" t="inlineStr">
        <is>
          <t>2026-04-16，Creality在TCT 2026展示next-gen smart creation ecosystem，SPARKX i7继续作为核心新品出现。</t>
        </is>
      </c>
      <c r="F62" s="17" t="inlineStr">
        <is>
          <t>中</t>
        </is>
      </c>
      <c r="G62" s="18" t="inlineStr">
        <is>
          <t>https://www.thailand-business-news.com/pr-news/creality-shines-at-tct-2026-with-next-gen-smart-creation-ecosystem</t>
        </is>
      </c>
    </row>
    <row r="63">
      <c r="A63" s="16" t="inlineStr">
        <is>
          <t>3C</t>
        </is>
      </c>
      <c r="B63" s="14" t="inlineStr">
        <is>
          <t>美国</t>
        </is>
      </c>
      <c r="C63" s="14" t="inlineStr">
        <is>
          <t>家庭音频和剧院产品</t>
        </is>
      </c>
      <c r="D63" s="14" t="inlineStr">
        <is>
          <t>Edifier</t>
        </is>
      </c>
      <c r="E63" s="14" t="inlineStr">
        <is>
          <t>2026年按家庭音频/桌面音箱/耳机新品和海外渠道追踪；官方站为主体入口。</t>
        </is>
      </c>
      <c r="F63" s="14" t="inlineStr">
        <is>
          <t>中</t>
        </is>
      </c>
      <c r="G63" s="15" t="inlineStr">
        <is>
          <t>https://www.edifier.com/</t>
        </is>
      </c>
    </row>
    <row r="64">
      <c r="A64" s="19" t="inlineStr">
        <is>
          <t>3C</t>
        </is>
      </c>
      <c r="B64" s="17" t="inlineStr">
        <is>
          <t>美国</t>
        </is>
      </c>
      <c r="C64" s="17" t="inlineStr">
        <is>
          <t>增材制造产品</t>
        </is>
      </c>
      <c r="D64" s="17" t="inlineStr">
        <is>
          <t>ELEGOO</t>
        </is>
      </c>
      <c r="E64" s="17" t="inlineStr">
        <is>
          <t>2026年按多色3D打印、Jupiter/Centauri系列与耗材生态追踪；官方站为主体入口。</t>
        </is>
      </c>
      <c r="F64" s="17" t="inlineStr">
        <is>
          <t>中</t>
        </is>
      </c>
      <c r="G64" s="18" t="inlineStr">
        <is>
          <t>https://www.elegoo.com/</t>
        </is>
      </c>
    </row>
    <row r="65">
      <c r="A65" s="16" t="inlineStr">
        <is>
          <t>3C</t>
        </is>
      </c>
      <c r="B65" s="14" t="inlineStr">
        <is>
          <t>美国</t>
        </is>
      </c>
      <c r="C65" s="14" t="inlineStr">
        <is>
          <t>增材制造产品</t>
        </is>
      </c>
      <c r="D65" s="14" t="inlineStr">
        <is>
          <t>ELEGOO</t>
        </is>
      </c>
      <c r="E65" s="14" t="inlineStr">
        <is>
          <t>2026年，Tom's Hardware报道Centauri Carbon 2 Combo已上市，价格449美元，第三方媒体验证产品进入销售阶段。</t>
        </is>
      </c>
      <c r="F65" s="14" t="inlineStr">
        <is>
          <t>中</t>
        </is>
      </c>
      <c r="G65" s="15" t="inlineStr">
        <is>
          <t>https://www.tomshardware.com/3d-printing/elegoos-centauri-carbon-2-combo-budget-3d-printer-is-now-available-brings-four-color-printing-to-an-accessible-price-point</t>
        </is>
      </c>
    </row>
    <row r="66">
      <c r="A66" s="19" t="inlineStr">
        <is>
          <t>3C</t>
        </is>
      </c>
      <c r="B66" s="17" t="inlineStr">
        <is>
          <t>美国</t>
        </is>
      </c>
      <c r="C66" s="17" t="inlineStr">
        <is>
          <t>手机和配件</t>
        </is>
      </c>
      <c r="D66" s="17" t="inlineStr">
        <is>
          <t>eufy</t>
        </is>
      </c>
      <c r="E66" s="17" t="inlineStr">
        <is>
          <t>2026-03，HuffPost Spain报道MWC 2026展示eufy C28 Omni扫地机器人与eufy C15割草机器人，说明Anker旗下智能家居硬件扩张。</t>
        </is>
      </c>
      <c r="F66" s="17" t="inlineStr">
        <is>
          <t>中</t>
        </is>
      </c>
      <c r="G66" s="18" t="inlineStr">
        <is>
          <t>https://www.huffingtonpost.es/tecnologia/anker-presenta-mwc-cargadores-inteligentes-paso-frente-robotica-domestica-f202603.html</t>
        </is>
      </c>
    </row>
    <row r="67">
      <c r="A67" s="16" t="inlineStr">
        <is>
          <t>3C</t>
        </is>
      </c>
      <c r="B67" s="14" t="inlineStr">
        <is>
          <t>美国</t>
        </is>
      </c>
      <c r="C67" s="14" t="inlineStr">
        <is>
          <t>增材制造产品</t>
        </is>
      </c>
      <c r="D67" s="14" t="inlineStr">
        <is>
          <t>FLASHFORGE</t>
        </is>
      </c>
      <c r="E67" s="14" t="inlineStr">
        <is>
          <t>2026年按消费级3D打印机与耗材生态追踪；官方站为主体入口。</t>
        </is>
      </c>
      <c r="F67" s="14" t="inlineStr">
        <is>
          <t>中</t>
        </is>
      </c>
      <c r="G67" s="15" t="inlineStr">
        <is>
          <t>https://www.flashforge.com/</t>
        </is>
      </c>
    </row>
    <row r="68">
      <c r="A68" s="19" t="inlineStr">
        <is>
          <t>3C</t>
        </is>
      </c>
      <c r="B68" s="17" t="inlineStr">
        <is>
          <t>美国</t>
        </is>
      </c>
      <c r="C68" s="17" t="inlineStr">
        <is>
          <t>家庭音频和剧院产品</t>
        </is>
      </c>
      <c r="D68" s="17" t="inlineStr">
        <is>
          <t>Fosi Audio</t>
        </is>
      </c>
      <c r="E68" s="17" t="inlineStr">
        <is>
          <t>2026年按桌面HiFi功放/众筹/发烧友社群新品追踪；官方站为主体入口。</t>
        </is>
      </c>
      <c r="F68" s="17" t="inlineStr">
        <is>
          <t>中</t>
        </is>
      </c>
      <c r="G68" s="18" t="inlineStr">
        <is>
          <t>https://fosiaudio.com/</t>
        </is>
      </c>
    </row>
    <row r="69">
      <c r="A69" s="16" t="inlineStr">
        <is>
          <t>3C</t>
        </is>
      </c>
      <c r="B69" s="14" t="inlineStr">
        <is>
          <t>美国</t>
        </is>
      </c>
      <c r="C69" s="14" t="inlineStr">
        <is>
          <t>计算机网络</t>
        </is>
      </c>
      <c r="D69" s="14" t="inlineStr">
        <is>
          <t>GL.iNet</t>
        </is>
      </c>
      <c r="E69" s="14" t="inlineStr">
        <is>
          <t>2026年重点追踪旅行路由器/OpenWrt/VPN/WiFi 7与美国路由器合规窗口；官方站为主体确认。</t>
        </is>
      </c>
      <c r="F69" s="14" t="inlineStr">
        <is>
          <t>中</t>
        </is>
      </c>
      <c r="G69" s="15" t="inlineStr">
        <is>
          <t>https://www.gl-inet.com/</t>
        </is>
      </c>
    </row>
    <row r="70">
      <c r="A70" s="19" t="inlineStr">
        <is>
          <t>3C</t>
        </is>
      </c>
      <c r="B70" s="17" t="inlineStr">
        <is>
          <t>美国</t>
        </is>
      </c>
      <c r="C70" s="17" t="inlineStr">
        <is>
          <t>照明和吊扇</t>
        </is>
      </c>
      <c r="D70" s="17" t="inlineStr">
        <is>
          <t>Govee</t>
        </is>
      </c>
      <c r="E70" s="17" t="inlineStr">
        <is>
          <t>2026年按智能照明、AI home、CES/IFA新品和Matter生态追踪；官方站为主体入口。</t>
        </is>
      </c>
      <c r="F70" s="17" t="inlineStr">
        <is>
          <t>中</t>
        </is>
      </c>
      <c r="G70" s="18" t="inlineStr">
        <is>
          <t>https://us.govee.com/</t>
        </is>
      </c>
    </row>
    <row r="71">
      <c r="A71" s="16" t="inlineStr">
        <is>
          <t>3C</t>
        </is>
      </c>
      <c r="B71" s="14" t="inlineStr">
        <is>
          <t>美国</t>
        </is>
      </c>
      <c r="C71" s="14" t="inlineStr">
        <is>
          <t>照明和吊扇</t>
        </is>
      </c>
      <c r="D71" s="14" t="inlineStr">
        <is>
          <t>Govee</t>
        </is>
      </c>
      <c r="E71" s="14" t="inlineStr">
        <is>
          <t>2026-01，The Verge报道Govee在CES 2026发布Sky Ceiling Light和Ceiling Light Ultra，并支持AI Lighting Bot 2.0。</t>
        </is>
      </c>
      <c r="F71" s="14" t="inlineStr">
        <is>
          <t>中</t>
        </is>
      </c>
      <c r="G71" s="15" t="inlineStr">
        <is>
          <t>https://www.theverge.com/tech/853006/govee-sky-ceiling-light-ultra-specs</t>
        </is>
      </c>
    </row>
    <row r="72">
      <c r="A72" s="19" t="inlineStr">
        <is>
          <t>3C</t>
        </is>
      </c>
      <c r="B72" s="17" t="inlineStr">
        <is>
          <t>美国</t>
        </is>
      </c>
      <c r="C72" s="17" t="inlineStr">
        <is>
          <t>照明和吊扇</t>
        </is>
      </c>
      <c r="D72" s="17" t="inlineStr">
        <is>
          <t>Govee</t>
        </is>
      </c>
      <c r="E72" s="17" t="inlineStr">
        <is>
          <t>2026-01，西班牙CincoDías报道Govee CES 2026三款Matter兼容新品，包含Govee Floor Lamp 3、Ceiling Light Ultra、Ceiling Light Sky。</t>
        </is>
      </c>
      <c r="F72" s="17" t="inlineStr">
        <is>
          <t>中</t>
        </is>
      </c>
      <c r="G72" s="18" t="inlineStr">
        <is>
          <t>https://cincodias.elpais.com/smartlife/gadgets/2026-01-11/govee-amplia-su-ecosistema-de-iluminacion-inteligente-con-nuevas-lamparas-compatibles-con-matter.html</t>
        </is>
      </c>
    </row>
    <row r="73">
      <c r="A73" s="16" t="inlineStr">
        <is>
          <t>3C</t>
        </is>
      </c>
      <c r="B73" s="14" t="inlineStr">
        <is>
          <t>美国</t>
        </is>
      </c>
      <c r="C73" s="14" t="inlineStr">
        <is>
          <t>照明和吊扇</t>
        </is>
      </c>
      <c r="D73" s="14" t="inlineStr">
        <is>
          <t>Govee</t>
        </is>
      </c>
      <c r="E73" s="14" t="inlineStr">
        <is>
          <t>2026年，Govee官网CES 2026专题页保留AI Lighting Bot 2.0/DaySync/Matter生态展示，官网存在可作为品牌化信号。</t>
        </is>
      </c>
      <c r="F73" s="14" t="inlineStr">
        <is>
          <t>中</t>
        </is>
      </c>
      <c r="G73" s="15" t="inlineStr">
        <is>
          <t>https://us.govee.com/blogs/product-review-blog/ces-2026-tech</t>
        </is>
      </c>
    </row>
    <row r="74">
      <c r="A74" s="19" t="inlineStr">
        <is>
          <t>3C</t>
        </is>
      </c>
      <c r="B74" s="17" t="inlineStr">
        <is>
          <t>美国</t>
        </is>
      </c>
      <c r="C74" s="17" t="inlineStr">
        <is>
          <t>婴儿安全产品</t>
        </is>
      </c>
      <c r="D74" s="17" t="inlineStr">
        <is>
          <t>HelloBaby</t>
        </is>
      </c>
      <c r="E74" s="17" t="inlineStr">
        <is>
          <t>2026年按AI婴儿监视器、呼吸/睡眠/哭声识别等婴童智能化新品追踪；官方站为主体入口。</t>
        </is>
      </c>
      <c r="F74" s="17" t="inlineStr">
        <is>
          <t>中</t>
        </is>
      </c>
      <c r="G74" s="18" t="inlineStr">
        <is>
          <t>https://www.hellobaby-monitor.com/</t>
        </is>
      </c>
    </row>
    <row r="75">
      <c r="A75" s="16" t="inlineStr">
        <is>
          <t>3C</t>
        </is>
      </c>
      <c r="B75" s="14" t="inlineStr">
        <is>
          <t>美国</t>
        </is>
      </c>
      <c r="C75" s="14" t="inlineStr">
        <is>
          <t>加热、冷却和空气质量</t>
        </is>
      </c>
      <c r="D75" s="14" t="inlineStr">
        <is>
          <t>Hisense</t>
        </is>
      </c>
      <c r="E75" s="14" t="inlineStr">
        <is>
          <t>2026年按电视/显示/空调新品、CES和北美渠道追踪；官方美国站为主体入口。</t>
        </is>
      </c>
      <c r="F75" s="14" t="inlineStr">
        <is>
          <t>中</t>
        </is>
      </c>
      <c r="G75" s="15" t="inlineStr">
        <is>
          <t>https://www.hisense-usa.com/</t>
        </is>
      </c>
    </row>
    <row r="76">
      <c r="A76" s="19" t="inlineStr">
        <is>
          <t>3C</t>
        </is>
      </c>
      <c r="B76" s="17" t="inlineStr">
        <is>
          <t>美国</t>
        </is>
      </c>
      <c r="C76" s="17" t="inlineStr">
        <is>
          <t>电脑平板电脑</t>
        </is>
      </c>
      <c r="D76" s="17" t="inlineStr">
        <is>
          <t>iflytek</t>
        </is>
      </c>
      <c r="E76" s="17" t="inlineStr">
        <is>
          <t>2026年按AI办公本、智能转写设备、海外上新与YouTube商务场景测评追踪。</t>
        </is>
      </c>
      <c r="F76" s="17" t="inlineStr">
        <is>
          <t>中</t>
        </is>
      </c>
      <c r="G76" s="18" t="inlineStr">
        <is>
          <t>https://global.iflytek.com/</t>
        </is>
      </c>
    </row>
    <row r="77">
      <c r="A77" s="16" t="inlineStr">
        <is>
          <t>3C</t>
        </is>
      </c>
      <c r="B77" s="14" t="inlineStr">
        <is>
          <t>美国</t>
        </is>
      </c>
      <c r="C77" s="14" t="inlineStr">
        <is>
          <t>相机和照片配件</t>
        </is>
      </c>
      <c r="D77" s="14" t="inlineStr">
        <is>
          <t>Insta360</t>
        </is>
      </c>
      <c r="E77" s="14" t="inlineStr">
        <is>
          <t>2026年官方站已展示Insta360 X5、Antigravity A1 8K 360 drone等新品矩阵，适合创作者经济/全景相机方向追踪。</t>
        </is>
      </c>
      <c r="F77" s="14" t="inlineStr">
        <is>
          <t>中</t>
        </is>
      </c>
      <c r="G77" s="15" t="inlineStr">
        <is>
          <t>https://www.insta360.com/
https://www.insta360.com/product/insta360-x5</t>
        </is>
      </c>
    </row>
    <row r="78">
      <c r="A78" s="19" t="inlineStr">
        <is>
          <t>3C</t>
        </is>
      </c>
      <c r="B78" s="17" t="inlineStr">
        <is>
          <t>美国</t>
        </is>
      </c>
      <c r="C78" s="17" t="inlineStr">
        <is>
          <t>相机和照片配件</t>
        </is>
      </c>
      <c r="D78" s="17" t="inlineStr">
        <is>
          <t>Insta360</t>
        </is>
      </c>
      <c r="E78" s="17" t="inlineStr">
        <is>
          <t>2026-05-11，Insta360官网CES 2026复盘披露X5、GO Ultra、Ace Pro 2、Flow 2 Pro等旗舰产品线展示，官网专题可作为品牌活跃信号。</t>
        </is>
      </c>
      <c r="F78" s="17" t="inlineStr">
        <is>
          <t>中</t>
        </is>
      </c>
      <c r="G78" s="18" t="inlineStr">
        <is>
          <t>https://www.insta360.com/blog/insta360-at-CES-2026.html</t>
        </is>
      </c>
    </row>
    <row r="79">
      <c r="A79" s="16" t="inlineStr">
        <is>
          <t>3C</t>
        </is>
      </c>
      <c r="B79" s="14" t="inlineStr">
        <is>
          <t>美国</t>
        </is>
      </c>
      <c r="C79" s="14" t="inlineStr">
        <is>
          <t>相机和照片配件</t>
        </is>
      </c>
      <c r="D79" s="14" t="inlineStr">
        <is>
          <t>Insta360</t>
        </is>
      </c>
      <c r="E79" s="14" t="inlineStr">
        <is>
          <t>2026-05，The Verge报道Insta360为GO 3S推出Retro Viewfinder/Retro Bundle，属于创作者相机配件新品传播。</t>
        </is>
      </c>
      <c r="F79" s="14" t="inlineStr">
        <is>
          <t>中</t>
        </is>
      </c>
      <c r="G79" s="15" t="inlineStr">
        <is>
          <t>https://www.theverge.com/tech/929125/insta360-360-go-3s-retro-bundle-viewfinder-accessory</t>
        </is>
      </c>
    </row>
    <row r="80">
      <c r="A80" s="19" t="inlineStr">
        <is>
          <t>3C</t>
        </is>
      </c>
      <c r="B80" s="17" t="inlineStr">
        <is>
          <t>美国</t>
        </is>
      </c>
      <c r="C80" s="17" t="inlineStr">
        <is>
          <t>相机和照片配件</t>
        </is>
      </c>
      <c r="D80" s="17" t="inlineStr">
        <is>
          <t>Insta360</t>
        </is>
      </c>
      <c r="E80" s="17" t="inlineStr">
        <is>
          <t>2026-05，TechRadar报道Insta360 GO 3S Retro Bundle，第三方科技媒体验证其复古相机套件新品传播。</t>
        </is>
      </c>
      <c r="F80" s="17" t="inlineStr">
        <is>
          <t>中</t>
        </is>
      </c>
      <c r="G80" s="18" t="inlineStr">
        <is>
          <t>https://www.techradar.com/cameras/action-cameras/insta360-reveals-one-of-the-wackiest-camera-kits-for-2026-its-thumb-sized-4k-camera-with-no-screen-and-a-waist-level-optical-viewfinder</t>
        </is>
      </c>
    </row>
    <row r="81">
      <c r="A81" s="16" t="inlineStr">
        <is>
          <t>3C</t>
        </is>
      </c>
      <c r="B81" s="14" t="inlineStr">
        <is>
          <t>美国</t>
        </is>
      </c>
      <c r="C81" s="14" t="inlineStr">
        <is>
          <t>加热、冷却和空气质量</t>
        </is>
      </c>
      <c r="D81" s="14" t="inlineStr">
        <is>
          <t>JISULIFE</t>
        </is>
      </c>
      <c r="E81" s="14" t="inlineStr">
        <is>
          <t>2026年按个人风扇、挂脖风扇、TikTok内容驱动与夏季季节性爆发追踪；官方站为主体入口。</t>
        </is>
      </c>
      <c r="F81" s="14" t="inlineStr">
        <is>
          <t>中</t>
        </is>
      </c>
      <c r="G81" s="15" t="inlineStr">
        <is>
          <t>https://jisulife.com/</t>
        </is>
      </c>
    </row>
    <row r="82">
      <c r="A82" s="19" t="inlineStr">
        <is>
          <t>3C</t>
        </is>
      </c>
      <c r="B82" s="17" t="inlineStr">
        <is>
          <t>美国</t>
        </is>
      </c>
      <c r="C82" s="17" t="inlineStr">
        <is>
          <t>造型工具和设备</t>
        </is>
      </c>
      <c r="D82" s="17" t="inlineStr">
        <is>
          <t>Laifen</t>
        </is>
      </c>
      <c r="E82" s="17" t="inlineStr">
        <is>
          <t>2026-01，Daily Beast报道Laifen在CES 2026推出Mini Hair Dryer并预览Swift 4，属于美容科技新品传播。</t>
        </is>
      </c>
      <c r="F82" s="17" t="inlineStr">
        <is>
          <t>中</t>
        </is>
      </c>
      <c r="G82" s="18" t="inlineStr">
        <is>
          <t>https://www.thedailybeast.com/the-future-of-hot-hair-tools-straight-from-ces-2026/</t>
        </is>
      </c>
    </row>
    <row r="83">
      <c r="A83" s="16" t="inlineStr">
        <is>
          <t>3C</t>
        </is>
      </c>
      <c r="B83" s="14" t="inlineStr">
        <is>
          <t>美国</t>
        </is>
      </c>
      <c r="C83" s="14" t="inlineStr">
        <is>
          <t>造型工具和设备</t>
        </is>
      </c>
      <c r="D83" s="14" t="inlineStr">
        <is>
          <t>Laifen</t>
        </is>
      </c>
      <c r="E83" s="14" t="inlineStr">
        <is>
          <t>2026-01-08，纽约邮报报道Laifen在CES 2026展示Wave Pro Electric Toothbrush、Mini Hair Dryer、Swift 4 Hair Dryer。</t>
        </is>
      </c>
      <c r="F83" s="14" t="inlineStr">
        <is>
          <t>中</t>
        </is>
      </c>
      <c r="G83" s="15" t="inlineStr">
        <is>
          <t>https://nypost.com/2026/01/08/shopping/laifen-is-elevating-your-getting-ready-routine-with-newness-at-ces/</t>
        </is>
      </c>
    </row>
    <row r="84">
      <c r="A84" s="19" t="inlineStr">
        <is>
          <t>3C</t>
        </is>
      </c>
      <c r="B84" s="17" t="inlineStr">
        <is>
          <t>美国</t>
        </is>
      </c>
      <c r="C84" s="17" t="inlineStr">
        <is>
          <t>造型工具和设备</t>
        </is>
      </c>
      <c r="D84" s="17" t="inlineStr">
        <is>
          <t>Laifen</t>
        </is>
      </c>
      <c r="E84" s="17" t="inlineStr">
        <is>
          <t>2026-04-03，纽约邮报推荐Laifen SE Lite hair dryer，说明其在美国电商媒体中仍有消费触达。</t>
        </is>
      </c>
      <c r="F84" s="17" t="inlineStr">
        <is>
          <t>中</t>
        </is>
      </c>
      <c r="G84" s="18" t="inlineStr">
        <is>
          <t>https://nypost.com/2026/04/03/shopping/hidden-coupon-shop-this-hair-dryer-for-less-than-100/</t>
        </is>
      </c>
    </row>
    <row r="85">
      <c r="A85" s="16" t="inlineStr">
        <is>
          <t>3C</t>
        </is>
      </c>
      <c r="B85" s="14" t="inlineStr">
        <is>
          <t>美国</t>
        </is>
      </c>
      <c r="C85" s="14" t="inlineStr">
        <is>
          <t>笔记本电脑</t>
        </is>
      </c>
      <c r="D85" s="14" t="inlineStr">
        <is>
          <t>Lenovo</t>
        </is>
      </c>
      <c r="E85" s="14" t="inlineStr">
        <is>
          <t>2026年按AI PC、笔记本/平板和CES新品追踪；官方美国站为主体入口。</t>
        </is>
      </c>
      <c r="F85" s="14" t="inlineStr">
        <is>
          <t>中</t>
        </is>
      </c>
      <c r="G85" s="15" t="inlineStr">
        <is>
          <t>https://www.lenovo.com/us/en/</t>
        </is>
      </c>
    </row>
    <row r="86">
      <c r="A86" s="19" t="inlineStr">
        <is>
          <t>3C</t>
        </is>
      </c>
      <c r="B86" s="17" t="inlineStr">
        <is>
          <t>美国</t>
        </is>
      </c>
      <c r="C86" s="17" t="inlineStr">
        <is>
          <t>加热、冷却和空气质量</t>
        </is>
      </c>
      <c r="D86" s="17" t="inlineStr">
        <is>
          <t>Levoit</t>
        </is>
      </c>
      <c r="E86" s="17" t="inlineStr">
        <is>
          <t>2026年按空气净化器、HEPA滤芯复购、CARB/ENERGY STAR认证和Subscribe &amp; Save追踪；官方站为主体入口。</t>
        </is>
      </c>
      <c r="F86" s="17" t="inlineStr">
        <is>
          <t>中</t>
        </is>
      </c>
      <c r="G86" s="18" t="inlineStr">
        <is>
          <t>https://levoit.com/</t>
        </is>
      </c>
    </row>
    <row r="87">
      <c r="A87" s="16" t="inlineStr">
        <is>
          <t>3C</t>
        </is>
      </c>
      <c r="B87" s="14" t="inlineStr">
        <is>
          <t>美国</t>
        </is>
      </c>
      <c r="C87" s="14" t="inlineStr">
        <is>
          <t>计算机配件和外围设备</t>
        </is>
      </c>
      <c r="D87" s="14" t="inlineStr">
        <is>
          <t>Lexar</t>
        </is>
      </c>
      <c r="E87" s="14" t="inlineStr">
        <is>
          <t>2026年按存储卡/SSD/创作者存储新品追踪；官方站为主体入口。</t>
        </is>
      </c>
      <c r="F87" s="14" t="inlineStr">
        <is>
          <t>中</t>
        </is>
      </c>
      <c r="G87" s="15" t="inlineStr">
        <is>
          <t>https://www.lexar.com/</t>
        </is>
      </c>
    </row>
    <row r="88">
      <c r="A88" s="19" t="inlineStr">
        <is>
          <t>3C</t>
        </is>
      </c>
      <c r="B88" s="17" t="inlineStr">
        <is>
          <t>美国</t>
        </is>
      </c>
      <c r="C88" s="17" t="inlineStr">
        <is>
          <t>厨房小家电</t>
        </is>
      </c>
      <c r="D88" s="17" t="inlineStr">
        <is>
          <t>Midea</t>
        </is>
      </c>
      <c r="E88" s="17" t="inlineStr">
        <is>
          <t>2026年按北美便携/窗式空调、Home Depot/Costco线下渠道和Amazon季节性爆发追踪；官方美国站为主体入口。</t>
        </is>
      </c>
      <c r="F88" s="17" t="inlineStr">
        <is>
          <t>中</t>
        </is>
      </c>
      <c r="G88" s="18" t="inlineStr">
        <is>
          <t>https://www.midea.com/us/</t>
        </is>
      </c>
    </row>
    <row r="89">
      <c r="A89" s="16" t="inlineStr">
        <is>
          <t>3C</t>
        </is>
      </c>
      <c r="B89" s="14" t="inlineStr">
        <is>
          <t>美国</t>
        </is>
      </c>
      <c r="C89" s="14" t="inlineStr">
        <is>
          <t>婴儿安全产品</t>
        </is>
      </c>
      <c r="D89" s="14" t="inlineStr">
        <is>
          <t>Momcozy</t>
        </is>
      </c>
      <c r="E89" s="14" t="inlineStr">
        <is>
          <t>2026年按母婴智能设备、泵奶/婴儿监视器和美国渠道追踪；官方站为主体入口。</t>
        </is>
      </c>
      <c r="F89" s="14" t="inlineStr">
        <is>
          <t>中</t>
        </is>
      </c>
      <c r="G89" s="15" t="inlineStr">
        <is>
          <t>https://momcozy.com/</t>
        </is>
      </c>
    </row>
    <row r="90">
      <c r="A90" s="19" t="inlineStr">
        <is>
          <t>3C</t>
        </is>
      </c>
      <c r="B90" s="17" t="inlineStr">
        <is>
          <t>美国</t>
        </is>
      </c>
      <c r="C90" s="17" t="inlineStr">
        <is>
          <t>真空吸尘器和地板护理</t>
        </is>
      </c>
      <c r="D90" s="17" t="inlineStr">
        <is>
          <t>Mova</t>
        </is>
      </c>
      <c r="E90" s="17" t="inlineStr">
        <is>
          <t>2026年可按Dreame系智能清洁/全屋生态新品路径追踪，重点检索MOVA robot vacuum Amazon launch/CES/IFA。</t>
        </is>
      </c>
      <c r="F90" s="17" t="inlineStr">
        <is>
          <t>中</t>
        </is>
      </c>
      <c r="G90" s="18" t="inlineStr">
        <is>
          <t>https://www.dreametech.com/</t>
        </is>
      </c>
    </row>
    <row r="91">
      <c r="A91" s="16" t="inlineStr">
        <is>
          <t>3C</t>
        </is>
      </c>
      <c r="B91" s="14" t="inlineStr">
        <is>
          <t>美国</t>
        </is>
      </c>
      <c r="C91" s="14" t="inlineStr">
        <is>
          <t>电脑打印机</t>
        </is>
      </c>
      <c r="D91" s="14" t="inlineStr">
        <is>
          <t>MUNBYN</t>
        </is>
      </c>
      <c r="E91" s="14" t="inlineStr">
        <is>
          <t>2026年按热敏标签打印、商家/SOHO场景和耗材复购追踪；官方站为主体入口。</t>
        </is>
      </c>
      <c r="F91" s="14" t="inlineStr">
        <is>
          <t>中</t>
        </is>
      </c>
      <c r="G91" s="15" t="inlineStr">
        <is>
          <t>https://munbyn.com/</t>
        </is>
      </c>
    </row>
    <row r="92">
      <c r="A92" s="19" t="inlineStr">
        <is>
          <t>3C</t>
        </is>
      </c>
      <c r="B92" s="17" t="inlineStr">
        <is>
          <t>美国</t>
        </is>
      </c>
      <c r="C92" s="17" t="inlineStr">
        <is>
          <t>真空吸尘器和地板护理</t>
        </is>
      </c>
      <c r="D92" s="17" t="inlineStr">
        <is>
          <t>NARWAL</t>
        </is>
      </c>
      <c r="E92" s="17" t="inlineStr">
        <is>
          <t>2026年按机器人清洁新品、CES/IFA展会和北美上新追踪；官方品牌站可作主体确认。</t>
        </is>
      </c>
      <c r="F92" s="17" t="inlineStr">
        <is>
          <t>中</t>
        </is>
      </c>
      <c r="G92" s="18" t="inlineStr">
        <is>
          <t>https://www.narwal.com/</t>
        </is>
      </c>
    </row>
    <row r="93">
      <c r="A93" s="16" t="inlineStr">
        <is>
          <t>3C</t>
        </is>
      </c>
      <c r="B93" s="14" t="inlineStr">
        <is>
          <t>美国</t>
        </is>
      </c>
      <c r="C93" s="14" t="inlineStr">
        <is>
          <t>办公电子产品</t>
        </is>
      </c>
      <c r="D93" s="14" t="inlineStr">
        <is>
          <t>NIIMBOT</t>
        </is>
      </c>
      <c r="E93" s="14" t="inlineStr">
        <is>
          <t>2026年按热敏标签打印机、标签耗材订阅与Amazon排名追踪；官方站为主体入口。</t>
        </is>
      </c>
      <c r="F93" s="14" t="inlineStr">
        <is>
          <t>中</t>
        </is>
      </c>
      <c r="G93" s="15" t="inlineStr">
        <is>
          <t>https://www.niimbot.com/</t>
        </is>
      </c>
    </row>
    <row r="94">
      <c r="A94" s="19" t="inlineStr">
        <is>
          <t>3C</t>
        </is>
      </c>
      <c r="B94" s="17" t="inlineStr">
        <is>
          <t>美国</t>
        </is>
      </c>
      <c r="C94" s="17" t="inlineStr">
        <is>
          <t>安全与安保</t>
        </is>
      </c>
      <c r="D94" s="17" t="inlineStr">
        <is>
          <t>OLIGHT</t>
        </is>
      </c>
      <c r="E94" s="17" t="inlineStr">
        <is>
          <t>2026年按战术/EDC手电新品、社群运营、Shot Show/CES展会追踪；官方美国站为主体入口。</t>
        </is>
      </c>
      <c r="F94" s="17" t="inlineStr">
        <is>
          <t>中</t>
        </is>
      </c>
      <c r="G94" s="18" t="inlineStr">
        <is>
          <t>https://www.olightstore.com/</t>
        </is>
      </c>
    </row>
    <row r="95">
      <c r="A95" s="16" t="inlineStr">
        <is>
          <t>3C</t>
        </is>
      </c>
      <c r="B95" s="14" t="inlineStr">
        <is>
          <t>美国</t>
        </is>
      </c>
      <c r="C95" s="14" t="inlineStr">
        <is>
          <t>办公电子产品</t>
        </is>
      </c>
      <c r="D95" s="14" t="inlineStr">
        <is>
          <t>Phomemo</t>
        </is>
      </c>
      <c r="E95" s="14" t="inlineStr">
        <is>
          <t>2026年按热敏标签打印、标签纸订阅、IPO与美国渠道追踪；官方站为主体入口。</t>
        </is>
      </c>
      <c r="F95" s="14" t="inlineStr">
        <is>
          <t>中</t>
        </is>
      </c>
      <c r="G95" s="15" t="inlineStr">
        <is>
          <t>https://phomemo.com/</t>
        </is>
      </c>
    </row>
    <row r="96">
      <c r="A96" s="19" t="inlineStr">
        <is>
          <t>3C</t>
        </is>
      </c>
      <c r="B96" s="17" t="inlineStr">
        <is>
          <t>美国</t>
        </is>
      </c>
      <c r="C96" s="17" t="inlineStr">
        <is>
          <t>安全与安保</t>
        </is>
      </c>
      <c r="D96" s="17" t="inlineStr">
        <is>
          <t>REOLINK</t>
        </is>
      </c>
      <c r="E96" s="17" t="inlineStr">
        <is>
          <t>2026年按无订阅安防摄像头、AI检测、本地存储和Ring替代路径追踪；官方站为主体入口。</t>
        </is>
      </c>
      <c r="F96" s="17" t="inlineStr">
        <is>
          <t>中</t>
        </is>
      </c>
      <c r="G96" s="18" t="inlineStr">
        <is>
          <t>https://reolink.com/</t>
        </is>
      </c>
    </row>
    <row r="97">
      <c r="A97" s="16" t="inlineStr">
        <is>
          <t>3C</t>
        </is>
      </c>
      <c r="B97" s="14" t="inlineStr">
        <is>
          <t>美国</t>
        </is>
      </c>
      <c r="C97" s="14" t="inlineStr">
        <is>
          <t>监控和安全摄像头</t>
        </is>
      </c>
      <c r="D97" s="14" t="inlineStr">
        <is>
          <t>REOLINK</t>
        </is>
      </c>
      <c r="E97" s="14" t="inlineStr">
        <is>
          <t>2026年，Reolink官网TrackFlex产品页显示4K双镜头、3000流明、本地AI视频搜索、无订阅本地存储，官网可作为产品验证。</t>
        </is>
      </c>
      <c r="F97" s="14" t="inlineStr">
        <is>
          <t>中</t>
        </is>
      </c>
      <c r="G97" s="15" t="inlineStr">
        <is>
          <t>https://reolink.com/product/trackflex-floodlight-wifi/</t>
        </is>
      </c>
    </row>
    <row r="98">
      <c r="A98" s="19" t="inlineStr">
        <is>
          <t>3C</t>
        </is>
      </c>
      <c r="B98" s="17" t="inlineStr">
        <is>
          <t>美国</t>
        </is>
      </c>
      <c r="C98" s="17" t="inlineStr">
        <is>
          <t>耳机和耳机</t>
        </is>
      </c>
      <c r="D98" s="17" t="inlineStr">
        <is>
          <t>Shokz</t>
        </is>
      </c>
      <c r="E98" s="17" t="inlineStr">
        <is>
          <t>2026-01-06，Shokz官网OpenFit Pro新闻页说明开放式舒适、主动降噪、音质结合，是官方产品背书。</t>
        </is>
      </c>
      <c r="F98" s="17" t="inlineStr">
        <is>
          <t>中</t>
        </is>
      </c>
      <c r="G98" s="18" t="inlineStr">
        <is>
          <t>https://shokz.com/blogs/news/new-open-earbuds-openfit-pro</t>
        </is>
      </c>
    </row>
    <row r="99">
      <c r="A99" s="16" t="inlineStr">
        <is>
          <t>3C</t>
        </is>
      </c>
      <c r="B99" s="14" t="inlineStr">
        <is>
          <t>美国</t>
        </is>
      </c>
      <c r="C99" s="14" t="inlineStr">
        <is>
          <t>耳机和耳机</t>
        </is>
      </c>
      <c r="D99" s="14" t="inlineStr">
        <is>
          <t>Shokz</t>
        </is>
      </c>
      <c r="E99" s="14" t="inlineStr">
        <is>
          <t>2026-01-16，Shokz官网CES 2026复盘披露OpenDots ONE及获奖产品现场关注度，官网存在和展会复盘可作为品牌信号。</t>
        </is>
      </c>
      <c r="F99" s="14" t="inlineStr">
        <is>
          <t>中</t>
        </is>
      </c>
      <c r="G99" s="15" t="inlineStr">
        <is>
          <t>https://shokz.com/blogs/news/shokz-at-ces-2026</t>
        </is>
      </c>
    </row>
    <row r="100">
      <c r="A100" s="19" t="inlineStr">
        <is>
          <t>3C</t>
        </is>
      </c>
      <c r="B100" s="17" t="inlineStr">
        <is>
          <t>美国</t>
        </is>
      </c>
      <c r="C100" s="17" t="inlineStr">
        <is>
          <t>手机和配件</t>
        </is>
      </c>
      <c r="D100" s="17" t="inlineStr">
        <is>
          <t>Soundcore</t>
        </is>
      </c>
      <c r="E100" s="17" t="inlineStr">
        <is>
          <t>2026-01，WhatHiFi报道Anker Soundcore AeroFit 2 Pro在CES 2026推出，强调开放式与ANC双形态。</t>
        </is>
      </c>
      <c r="F100" s="17" t="inlineStr">
        <is>
          <t>中</t>
        </is>
      </c>
      <c r="G100" s="18" t="inlineStr">
        <is>
          <t>https://www.whathifi.com/headphones/wireless-earbuds/anker-claims-its-latest-pair-of-wireless-earbuds-are-the-first-of-their-kind</t>
        </is>
      </c>
    </row>
    <row r="101">
      <c r="A101" s="16" t="inlineStr">
        <is>
          <t>3C</t>
        </is>
      </c>
      <c r="B101" s="14" t="inlineStr">
        <is>
          <t>美国</t>
        </is>
      </c>
      <c r="C101" s="14" t="inlineStr">
        <is>
          <t>增材制造产品</t>
        </is>
      </c>
      <c r="D101" s="14" t="inlineStr">
        <is>
          <t>SUNLU</t>
        </is>
      </c>
      <c r="E101" s="14" t="inlineStr">
        <is>
          <t>2026年按3D打印耗材/干燥盒/多色生态追踪；官方站为主体入口。</t>
        </is>
      </c>
      <c r="F101" s="14" t="inlineStr">
        <is>
          <t>中</t>
        </is>
      </c>
      <c r="G101" s="15" t="inlineStr">
        <is>
          <t>https://www.sunlu.com/</t>
        </is>
      </c>
    </row>
    <row r="102">
      <c r="A102" s="19" t="inlineStr">
        <is>
          <t>3C</t>
        </is>
      </c>
      <c r="B102" s="17" t="inlineStr">
        <is>
          <t>美国</t>
        </is>
      </c>
      <c r="C102" s="17" t="inlineStr">
        <is>
          <t>电视和视频产品</t>
        </is>
      </c>
      <c r="D102" s="17" t="inlineStr">
        <is>
          <t>TCL</t>
        </is>
      </c>
      <c r="E102" s="17" t="inlineStr">
        <is>
          <t>2026年按电视/显示/平板新品、CES和北美渠道追踪；官方美国站为主体入口。</t>
        </is>
      </c>
      <c r="F102" s="17" t="inlineStr">
        <is>
          <t>中</t>
        </is>
      </c>
      <c r="G102" s="18" t="inlineStr">
        <is>
          <t>https://www.tcl.com/us/en</t>
        </is>
      </c>
    </row>
    <row r="103">
      <c r="A103" s="16" t="inlineStr">
        <is>
          <t>3C</t>
        </is>
      </c>
      <c r="B103" s="14" t="inlineStr">
        <is>
          <t>美国</t>
        </is>
      </c>
      <c r="C103" s="14" t="inlineStr">
        <is>
          <t>电气设备</t>
        </is>
      </c>
      <c r="D103" s="14" t="inlineStr">
        <is>
          <t>TESSAN</t>
        </is>
      </c>
      <c r="E103" s="14" t="inlineStr">
        <is>
          <t>2026年按旅行适配器、电源插座、USB-C统一趋势和UL/ETL认证追踪；官方站为主体入口。</t>
        </is>
      </c>
      <c r="F103" s="14" t="inlineStr">
        <is>
          <t>中</t>
        </is>
      </c>
      <c r="G103" s="15" t="inlineStr">
        <is>
          <t>https://tessan.com/</t>
        </is>
      </c>
    </row>
    <row r="104">
      <c r="A104" s="19" t="inlineStr">
        <is>
          <t>3C</t>
        </is>
      </c>
      <c r="B104" s="17" t="inlineStr">
        <is>
          <t>美国</t>
        </is>
      </c>
      <c r="C104" s="17" t="inlineStr">
        <is>
          <t>汽车工具和设备</t>
        </is>
      </c>
      <c r="D104" s="17" t="inlineStr">
        <is>
          <t>TOPDON</t>
        </is>
      </c>
      <c r="E104" s="17" t="inlineStr">
        <is>
          <t>2026年按汽车诊断、热成像、跳启电源等汽车电子新品追踪；官方站为主体入口。</t>
        </is>
      </c>
      <c r="F104" s="17" t="inlineStr">
        <is>
          <t>中</t>
        </is>
      </c>
      <c r="G104" s="18" t="inlineStr">
        <is>
          <t>https://www.topdon.com/</t>
        </is>
      </c>
    </row>
    <row r="105">
      <c r="A105" s="16" t="inlineStr">
        <is>
          <t>3C</t>
        </is>
      </c>
      <c r="B105" s="14" t="inlineStr">
        <is>
          <t>美国</t>
        </is>
      </c>
      <c r="C105" s="14" t="inlineStr">
        <is>
          <t>造型工具和设备</t>
        </is>
      </c>
      <c r="D105" s="14" t="inlineStr">
        <is>
          <t>TYMO</t>
        </is>
      </c>
      <c r="E105" s="14" t="inlineStr">
        <is>
          <t>2026年官网持续上新CURLPRO PLUS、AIRHYPE、AIRFLOW等造型工具，并用会员/教程/社媒内容承接TikTok-native美容科技流量。</t>
        </is>
      </c>
      <c r="F105" s="14" t="inlineStr">
        <is>
          <t>中</t>
        </is>
      </c>
      <c r="G105" s="15" t="inlineStr">
        <is>
          <t>https://tymobeauty.com/
https://tymobeauty.com/pages/sale</t>
        </is>
      </c>
    </row>
    <row r="106">
      <c r="A106" s="19" t="inlineStr">
        <is>
          <t>3C</t>
        </is>
      </c>
      <c r="B106" s="17" t="inlineStr">
        <is>
          <t>美国</t>
        </is>
      </c>
      <c r="C106" s="17" t="inlineStr">
        <is>
          <t>造型工具和设备</t>
        </is>
      </c>
      <c r="D106" s="17" t="inlineStr">
        <is>
          <t>TYMO</t>
        </is>
      </c>
      <c r="E106" s="17" t="inlineStr">
        <is>
          <t>2026-05-01，TYMO官网博客围绕AIRHYPE吹风机做卷发场景教育，官网存在和内容运营可作为非白牌/内容投放信号。</t>
        </is>
      </c>
      <c r="F106" s="17" t="inlineStr">
        <is>
          <t>中</t>
        </is>
      </c>
      <c r="G106" s="18" t="inlineStr">
        <is>
          <t>https://tymobeauty.com/blogs/the-latest/blow-dryer-for-curly-hair-what-to-look-for-in-2026</t>
        </is>
      </c>
    </row>
    <row r="107">
      <c r="A107" s="16" t="inlineStr">
        <is>
          <t>3C</t>
        </is>
      </c>
      <c r="B107" s="14" t="inlineStr">
        <is>
          <t>美国</t>
        </is>
      </c>
      <c r="C107" s="14" t="inlineStr">
        <is>
          <t>电子配件和用品</t>
        </is>
      </c>
      <c r="D107" s="14" t="inlineStr">
        <is>
          <t>UGREEN</t>
        </is>
      </c>
      <c r="E107" s="14" t="inlineStr">
        <is>
          <t>2026-01-13，UGREEN官网新闻页收录CES 2026 AI NAS生态发布，官网本身可作为非白牌品牌信号。</t>
        </is>
      </c>
      <c r="F107" s="14" t="inlineStr">
        <is>
          <t>中</t>
        </is>
      </c>
      <c r="G107" s="15" t="inlineStr">
        <is>
          <t>https://www.ugreen.com/en-ae/blogs/news/ugreen-debuts-new-smart-ecosystem-at-ces-2026-led-by-ai-nas</t>
        </is>
      </c>
    </row>
    <row r="108">
      <c r="A108" s="19" t="inlineStr">
        <is>
          <t>3C</t>
        </is>
      </c>
      <c r="B108" s="17" t="inlineStr">
        <is>
          <t>美国</t>
        </is>
      </c>
      <c r="C108" s="17" t="inlineStr">
        <is>
          <t>电子配件和用品</t>
        </is>
      </c>
      <c r="D108" s="17" t="inlineStr">
        <is>
          <t>UGREEN</t>
        </is>
      </c>
      <c r="E108" s="17" t="inlineStr">
        <is>
          <t>2026-02-02，NASCompares评测UGREEN NASync DXP4800 Pro，第三方测评验证其NAS品类持续产品化。</t>
        </is>
      </c>
      <c r="F108" s="17" t="inlineStr">
        <is>
          <t>中</t>
        </is>
      </c>
      <c r="G108" s="18" t="inlineStr">
        <is>
          <t>https://nascompares.com/tag/ugreen-nas-2026/</t>
        </is>
      </c>
    </row>
    <row r="109">
      <c r="A109" s="16" t="inlineStr">
        <is>
          <t>3C</t>
        </is>
      </c>
      <c r="B109" s="14" t="inlineStr">
        <is>
          <t>美国</t>
        </is>
      </c>
      <c r="C109" s="14" t="inlineStr">
        <is>
          <t>造型工具和设备</t>
        </is>
      </c>
      <c r="D109" s="14" t="inlineStr">
        <is>
          <t>Ulike</t>
        </is>
      </c>
      <c r="E109" s="14" t="inlineStr">
        <is>
          <t>2026-05-11，Ulike官网博客围绕Air 10做2026新手IPL购买教育，官网内容运营可作为品牌信号。</t>
        </is>
      </c>
      <c r="F109" s="14" t="inlineStr">
        <is>
          <t>中</t>
        </is>
      </c>
      <c r="G109" s="15" t="inlineStr">
        <is>
          <t>https://www.ulike.com/blogs/hair-removal/best-ipl-device-for-beginners-in-2026-easy-first-picks</t>
        </is>
      </c>
    </row>
    <row r="110">
      <c r="A110" s="19" t="inlineStr">
        <is>
          <t>3C</t>
        </is>
      </c>
      <c r="B110" s="17" t="inlineStr">
        <is>
          <t>美国</t>
        </is>
      </c>
      <c r="C110" s="17" t="inlineStr">
        <is>
          <t>厨房小家电</t>
        </is>
      </c>
      <c r="D110" s="17" t="inlineStr">
        <is>
          <t>VEVOR</t>
        </is>
      </c>
      <c r="E110" s="17" t="inlineStr">
        <is>
          <t>2026年按工具/厨电/商用设备多品类扩张和美国DTC渠道追踪；官方站为主体入口。</t>
        </is>
      </c>
      <c r="F110" s="17" t="inlineStr">
        <is>
          <t>中</t>
        </is>
      </c>
      <c r="G110" s="18" t="inlineStr">
        <is>
          <t>https://www.vevor.com/</t>
        </is>
      </c>
    </row>
    <row r="111">
      <c r="A111" s="16" t="inlineStr">
        <is>
          <t>3C</t>
        </is>
      </c>
      <c r="B111" s="14" t="inlineStr">
        <is>
          <t>美国</t>
        </is>
      </c>
      <c r="C111" s="14" t="inlineStr">
        <is>
          <t>家用电器</t>
        </is>
      </c>
      <c r="D111" s="14" t="inlineStr">
        <is>
          <t>Waterdrop</t>
        </is>
      </c>
      <c r="E111" s="14" t="inlineStr">
        <is>
          <t>2026年按冰箱/净水滤芯耗材、订阅复购和兼容替代追踪；官方站为主体入口。</t>
        </is>
      </c>
      <c r="F111" s="14" t="inlineStr">
        <is>
          <t>中</t>
        </is>
      </c>
      <c r="G111" s="15" t="inlineStr">
        <is>
          <t>https://www.waterdropfilter.com/</t>
        </is>
      </c>
    </row>
    <row r="112">
      <c r="A112" s="19" t="inlineStr">
        <is>
          <t>3C</t>
        </is>
      </c>
      <c r="B112" s="17" t="inlineStr">
        <is>
          <t>美国</t>
        </is>
      </c>
      <c r="C112" s="17" t="inlineStr">
        <is>
          <t>穿戴式科技</t>
        </is>
      </c>
      <c r="D112" s="17" t="inlineStr">
        <is>
          <t>XREAL</t>
        </is>
      </c>
      <c r="E112" s="17" t="inlineStr">
        <is>
          <t>2026-01-16，IDC复盘CES 2026智能眼镜趋势，点名XREAL与Asus ROG合作推出240Hz智能眼镜，属于第三方行业验证。</t>
        </is>
      </c>
      <c r="F112" s="17" t="inlineStr">
        <is>
          <t>中</t>
        </is>
      </c>
      <c r="G112" s="18" t="inlineStr">
        <is>
          <t>https://www.idc.com/resource-center/blog/the-future-of-smart-glasses-was-on-full-display-at-ces-2026/</t>
        </is>
      </c>
    </row>
  </sheetData>
  <hyperlinks>
    <hyperlink xmlns:r="http://schemas.openxmlformats.org/officeDocument/2006/relationships" ref="G2" display="https://www.mofcom.gov.cn/zcfb/zhzc/art/2026/art_7e1dc12697b744fd89e6110673ac117c.html" r:id="rId1"/>
    <hyperlink xmlns:r="http://schemas.openxmlformats.org/officeDocument/2006/relationships" ref="G3" display="https://www.nda.gov.cn/sjj/zwgk/zcfb/0112/20260107214358696030895_pc.html" r:id="rId2"/>
    <hyperlink xmlns:r="http://schemas.openxmlformats.org/officeDocument/2006/relationships" ref="G4" display="https://www.scio.gov.cn/live/2026/38374/qwxz/202604/P020260422356376818002.pdf" r:id="rId3"/>
    <hyperlink xmlns:r="http://schemas.openxmlformats.org/officeDocument/2006/relationships" ref="G5" display="https://www.prnewswire.com/news-releases/aiper-announces-strategic-partnership-with-pool--hot-tub-alliance-at-the-pool--spa-show-2026-302669992.html" r:id="rId4"/>
    <hyperlink xmlns:r="http://schemas.openxmlformats.org/officeDocument/2006/relationships" ref="G6" display="https://en.prnasia.com/releases/apac/as-homes-get-smarter-new-global-research-names-aiper-as-the-world-s-no-1-smart-robotic-pool-cleaner-brand-530066.shtml" r:id="rId5"/>
    <hyperlink xmlns:r="http://schemas.openxmlformats.org/officeDocument/2006/relationships" ref="G7" display="https://www.prnewswire.com/apac/news-releases/anker-innovations-showcases-iconic-lineup-of-charging-smart-home-and-entertainment-devices-during-ces-2026-302653788.html" r:id="rId6"/>
    <hyperlink xmlns:r="http://schemas.openxmlformats.org/officeDocument/2006/relationships" ref="G8" display="https://www.prnewswire.com/news-releases/baseus-powers-up-ces-2026-with-full-range-innovations-302652099.html" r:id="rId7"/>
    <hyperlink xmlns:r="http://schemas.openxmlformats.org/officeDocument/2006/relationships" ref="G9" display="https://pressreleasehub.pa.media/article/baseus-security-brings-kickstarter-success-x1-pro-smart-ai-dual-tracking-security-camera-to-amazon-67358.html" r:id="rId8"/>
    <hyperlink xmlns:r="http://schemas.openxmlformats.org/officeDocument/2006/relationships" ref="G10" display="https://sg.finance.yahoo.com/news/idea-print-creality-sparkx-i7-000000612.html" r:id="rId9"/>
    <hyperlink xmlns:r="http://schemas.openxmlformats.org/officeDocument/2006/relationships" ref="G11" display="https://www.prnewswire.com/news-releases/dji-showcases-best-in-class-creator-tools-at-nab-2026-302740271.html" r:id="rId10"/>
    <hyperlink xmlns:r="http://schemas.openxmlformats.org/officeDocument/2006/relationships" ref="G12" display="https://www.prnewswire.com/news-releases/dreame-technology-to-unveil-its-whole-home-smart-ecosystem-of-breakthrough-technologies-at-ces-2026-with-all-dreams-in-one-dreame-vision-302654456.html" r:id="rId11"/>
    <hyperlink xmlns:r="http://schemas.openxmlformats.org/officeDocument/2006/relationships" ref="G13" display="https://www.prnewswire.com/news-releases/dreame-technology-to-unveil-its-whole-home-smart-ecosystem-of-breakthrough-technologies-at-ces-2026-with-all-dreams-in-one-dreame-vision-302654456.html" r:id="rId12"/>
    <hyperlink xmlns:r="http://schemas.openxmlformats.org/officeDocument/2006/relationships" ref="G14" display="https://www.prnewswire.com/news-releases/dreame-wraps-up-a-successful-ces-showcase-sweeping-over-50-awards-and-debuting-its-visionary-whole-home-smart-ecosystem-302661394.html" r:id="rId13"/>
    <hyperlink xmlns:r="http://schemas.openxmlformats.org/officeDocument/2006/relationships" ref="G15" display="https://www.prnewswire.com/apac/news-releases/dreame-debuts-ai-powered-whole-home-smart-ecosystem-at-ces-2026-earning-multiple-industry-awards-302663062.html" r:id="rId14"/>
    <hyperlink xmlns:r="http://schemas.openxmlformats.org/officeDocument/2006/relationships" ref="G16" display="https://www.prnewswire.com/news-releases/dreame-unveils-beyond-smart-home-ecosystem-in-silicon-valley-showcasing-a-future-of-robotic-autonomy-and-ai-powered-living-302670608.html" r:id="rId15"/>
    <hyperlink xmlns:r="http://schemas.openxmlformats.org/officeDocument/2006/relationships" ref="G17" display="https://sg.finance.yahoo.com/news/dreame-launches-ultimate-roboticmower-ces-100600855.html" r:id="rId16"/>
    <hyperlink xmlns:r="http://schemas.openxmlformats.org/officeDocument/2006/relationships" ref="G18" display="https://en.prnasia.com/releases/apac/dreame-robot-laundry-s-latest-products-make-a-splash-at-ces-2026-518241.shtml" r:id="rId17"/>
    <hyperlink xmlns:r="http://schemas.openxmlformats.org/officeDocument/2006/relationships" ref="G19" display="https://www.prnewswire.com/news-releases/ecovacs-showcases-its-acceleration-towards-full-scenario-service-robotics-at-ces-2026-302653595.html" r:id="rId18"/>
    <hyperlink xmlns:r="http://schemas.openxmlformats.org/officeDocument/2006/relationships" ref="G20" display="https://www.prnewswire.com/news-releases/ecovacs-gains-further-international-recognition-as-a-service-robotics-leader-winning-three-gtb-awards-at-ces-2026-302658344.html" r:id="rId19"/>
    <hyperlink xmlns:r="http://schemas.openxmlformats.org/officeDocument/2006/relationships" ref="G21" display="https://www.prnewswire.com/news-releases/elegoo-to-launch-multicolor-3d-printer-centauri-carbon-2-combo-on-january-26-302664343.html" r:id="rId20"/>
    <hyperlink xmlns:r="http://schemas.openxmlformats.org/officeDocument/2006/relationships" ref="G22" display="https://pressreleasehub.pa.media/article/elegoo-launches-centauri-carbon-2-combo-a-family-friendly-multicolor-3d-printer-64833.html" r:id="rId21"/>
    <hyperlink xmlns:r="http://schemas.openxmlformats.org/officeDocument/2006/relationships" ref="G23" display="https://en.prnasia.com/releases/global/elegoo-announces-jupiter-2-global-launch-and-debuts-the-multicolor-system-for-centauri-carbon-at-rapid-tct-2026-529391.shtml" r:id="rId22"/>
    <hyperlink xmlns:r="http://schemas.openxmlformats.org/officeDocument/2006/relationships" ref="G24" display="https://www.prnewswire.com/apac/news-releases/anker-innovations-showcases-iconic-lineup-of-charging-smart-home-and-entertainment-devices-during-ces-2026-302653788.html" r:id="rId23"/>
    <hyperlink xmlns:r="http://schemas.openxmlformats.org/officeDocument/2006/relationships" ref="G25" display="https://www.prnewswire.com/news-releases/insta360-previews-new-luna-series-and-major-updates-at-nab-show-2026-302746651.html" r:id="rId24"/>
    <hyperlink xmlns:r="http://schemas.openxmlformats.org/officeDocument/2006/relationships" ref="G26" display="https://www.prnewswire.com/news-releases/laifen-unveils-new-cutting-edge-personal-care-innovations-at-ces-302653217.html" r:id="rId25"/>
    <hyperlink xmlns:r="http://schemas.openxmlformats.org/officeDocument/2006/relationships" ref="G27" display="https://www.eqs-news.com/news/corporate-news/reolink-reveals-new-ai-box-and-flagship-24-mp-triple-lens-security-camera-at-ces-2026/5dac6197-d849-4ad2-95e6-32060d443a67_en" r:id="rId26"/>
    <hyperlink xmlns:r="http://schemas.openxmlformats.org/officeDocument/2006/relationships" ref="G28" display="https://www.prnewswire.com/news-releases/reolink-launches-trackflex-floodlight-wifi-with-360-degree-coverage-302669821.html" r:id="rId27"/>
    <hyperlink xmlns:r="http://schemas.openxmlformats.org/officeDocument/2006/relationships" ref="G29" display="https://www.prnewswire.com/news-releases/ces-2026-roborock-releases-the-worlds-first-robotic-vacuum-with-wheel-leg-architecture-as-it-joins-hands-with-real-madrid-football-club-302658186.html" r:id="rId28"/>
    <hyperlink xmlns:r="http://schemas.openxmlformats.org/officeDocument/2006/relationships" ref="G30" display="https://www.newswire.ca/news-releases/roborock-launches-saros-20-in-north-america-engineered-for-complex-high-end-homes-and-real-world-ai-cleaning-302714269.html" r:id="rId29"/>
    <hyperlink xmlns:r="http://schemas.openxmlformats.org/officeDocument/2006/relationships" ref="G31" display="https://www.prnewswire.com/apac/news-releases/roborock-brings-its-ces-2026-headline-launches-to-australia-302727299.html" r:id="rId30"/>
    <hyperlink xmlns:r="http://schemas.openxmlformats.org/officeDocument/2006/relationships" ref="G32" display="https://sg.finance.yahoo.com/news/ces-2026-roborock-releases-worlds-054500301.html" r:id="rId31"/>
    <hyperlink xmlns:r="http://schemas.openxmlformats.org/officeDocument/2006/relationships" ref="G33" display="https://www.taiwannews.com.tw/news/6319016" r:id="rId32"/>
    <hyperlink xmlns:r="http://schemas.openxmlformats.org/officeDocument/2006/relationships" ref="G34" display="https://www.prnewswire.com/news-releases/rokid-previews-ai-glasses-style-ahead-of-ces-2026-302649916.html" r:id="rId33"/>
    <hyperlink xmlns:r="http://schemas.openxmlformats.org/officeDocument/2006/relationships" ref="G35" display="https://www.prnewswire.com/news-releases/shokz-earns-multiple-2026-ces-innovation-awards-and-previews-whats-next-for-open-ear-audio-at-ces-2026-302652756.html" r:id="rId34"/>
    <hyperlink xmlns:r="http://schemas.openxmlformats.org/officeDocument/2006/relationships" ref="G36" display="https://finance.yahoo.com/news/shokz-introduces-openfit-pro-era-190000742.html" r:id="rId35"/>
    <hyperlink xmlns:r="http://schemas.openxmlformats.org/officeDocument/2006/relationships" ref="G37" display="https://www.prnewswire.com/apac/news-releases/anker-innovations-showcases-iconic-lineup-of-charging-smart-home-and-entertainment-devices-during-ces-2026-302653788.html" r:id="rId36"/>
    <hyperlink xmlns:r="http://schemas.openxmlformats.org/officeDocument/2006/relationships" ref="G38" display="https://www.prnewswire.com/news-releases/tineco-debuts-modern-living-concept-and-latest-smart-cleaning-portfolio-at-ces-2026-302642003.html" r:id="rId37"/>
    <hyperlink xmlns:r="http://schemas.openxmlformats.org/officeDocument/2006/relationships" ref="G39" display="https://www.prnewswire.com/news-releases/tineco-debuts-modern-living-concept-and-latest-smart-cleaning-portfolio-at-ces-2026-302642003.html" r:id="rId38"/>
    <hyperlink xmlns:r="http://schemas.openxmlformats.org/officeDocument/2006/relationships" ref="G40" display="https://www.prnewswire.com/news-releases/tinecos-modern-living-vision-earns-global-media-recognition-at-ces-2026-302657790.html" r:id="rId39"/>
    <hyperlink xmlns:r="http://schemas.openxmlformats.org/officeDocument/2006/relationships" ref="G41" display="https://www.newswire.ca/news-releases/tineco-launches-floor-one-s9-artist-steam-in-canada-302664704.html" r:id="rId40"/>
    <hyperlink xmlns:r="http://schemas.openxmlformats.org/officeDocument/2006/relationships" ref="G42" display="https://www.prnewswire.com/news-releases/tineco-elevates-modern-living-with-a-smarter-more-balanced-floor-care-portfolio-302671067.html" r:id="rId41"/>
    <hyperlink xmlns:r="http://schemas.openxmlformats.org/officeDocument/2006/relationships" ref="G43" display="https://www.prnewswire.com/news-releases/ugreen-debuts-new-smart-ecosystem-at-ces-2026-led-by-ai-nas-302651304.html" r:id="rId42"/>
    <hyperlink xmlns:r="http://schemas.openxmlformats.org/officeDocument/2006/relationships" ref="G44" display="https://www.prnewswire.com/news-releases/ugreen-unveils-ai-nas-ecosystem-at-ces-2026-spotlighting-smart-storages-future-302657703.html" r:id="rId43"/>
    <hyperlink xmlns:r="http://schemas.openxmlformats.org/officeDocument/2006/relationships" ref="G45" display="https://www.ugreen.com/en-gb/blogs/news/ugreen-debuts-new-smart-ecosystem-at-ces-2026-led-by-ai-nas" r:id="rId44"/>
    <hyperlink xmlns:r="http://schemas.openxmlformats.org/officeDocument/2006/relationships" ref="G46" display="https://www.prnewswire.com/news-releases/ulike-hosts-glow-state-of-mind-wellness-events-across-santa-monica-and-new-york-302754299.html" r:id="rId45"/>
    <hyperlink xmlns:r="http://schemas.openxmlformats.org/officeDocument/2006/relationships" ref="G47" display="https://www.manilatimes.net/2026/03/10/tmt-newswire/pr-newswire/ulike-spring-dare-to-glow-celebrating-confident-and-aspirational-women/2296248" r:id="rId46"/>
    <hyperlink xmlns:r="http://schemas.openxmlformats.org/officeDocument/2006/relationships" ref="G48" display="https://gxt.fujian.gov.cn/zwgk/xw/hydt/xydt/202605/t20260518_7149229.htm" r:id="rId47"/>
    <hyperlink xmlns:r="http://schemas.openxmlformats.org/officeDocument/2006/relationships" ref="G49" display="https://aiper.com/us/aiper-ces-2026" r:id="rId48"/>
    <hyperlink xmlns:r="http://schemas.openxmlformats.org/officeDocument/2006/relationships" ref="G50" display="https://www.amazfit.com/" r:id="rId49"/>
    <hyperlink xmlns:r="http://schemas.openxmlformats.org/officeDocument/2006/relationships" ref="G51" display="https://www.huffingtonpost.es/tecnologia/anker-presenta-mwc-cargadores-inteligentes-paso-frente-robotica-domestica-f202603.html" r:id="rId50"/>
    <hyperlink xmlns:r="http://schemas.openxmlformats.org/officeDocument/2006/relationships" ref="G52" display="https://store.anycubic.com/" r:id="rId51"/>
    <hyperlink xmlns:r="http://schemas.openxmlformats.org/officeDocument/2006/relationships" ref="G53" display="https://www.aosulife.com/" r:id="rId52"/>
    <hyperlink xmlns:r="http://schemas.openxmlformats.org/officeDocument/2006/relationships" ref="G54" display="https://www.aqara.com/us/" r:id="rId53"/>
    <hyperlink xmlns:r="http://schemas.openxmlformats.org/officeDocument/2006/relationships" ref="G55" display="https://www.autel.com/" r:id="rId54"/>
    <hyperlink xmlns:r="http://schemas.openxmlformats.org/officeDocument/2006/relationships" ref="G56" display="https://bambulab.com/" r:id="rId55"/>
    <hyperlink xmlns:r="http://schemas.openxmlformats.org/officeDocument/2006/relationships" ref="G57" display="https://www.baseus.com/pages/security-x1-pro" r:id="rId56"/>
    <hyperlink xmlns:r="http://schemas.openxmlformats.org/officeDocument/2006/relationships" ref="G58" display="https://www.baseus.com/" r:id="rId57"/>
    <hyperlink xmlns:r="http://schemas.openxmlformats.org/officeDocument/2006/relationships" ref="G59" display="https://shop.boox.com/" r:id="rId58"/>
    <hyperlink xmlns:r="http://schemas.openxmlformats.org/officeDocument/2006/relationships" ref="G60" display="https://cosori.com/" r:id="rId59"/>
    <hyperlink xmlns:r="http://schemas.openxmlformats.org/officeDocument/2006/relationships" ref="G61" display="https://www.creality.com/" r:id="rId60"/>
    <hyperlink xmlns:r="http://schemas.openxmlformats.org/officeDocument/2006/relationships" ref="G62" display="https://www.thailand-business-news.com/pr-news/creality-shines-at-tct-2026-with-next-gen-smart-creation-ecosystem" r:id="rId61"/>
    <hyperlink xmlns:r="http://schemas.openxmlformats.org/officeDocument/2006/relationships" ref="G63" display="https://www.edifier.com/" r:id="rId62"/>
    <hyperlink xmlns:r="http://schemas.openxmlformats.org/officeDocument/2006/relationships" ref="G64" display="https://www.elegoo.com/" r:id="rId63"/>
    <hyperlink xmlns:r="http://schemas.openxmlformats.org/officeDocument/2006/relationships" ref="G65" display="https://www.tomshardware.com/3d-printing/elegoos-centauri-carbon-2-combo-budget-3d-printer-is-now-available-brings-four-color-printing-to-an-accessible-price-point" r:id="rId64"/>
    <hyperlink xmlns:r="http://schemas.openxmlformats.org/officeDocument/2006/relationships" ref="G66" display="https://www.huffingtonpost.es/tecnologia/anker-presenta-mwc-cargadores-inteligentes-paso-frente-robotica-domestica-f202603.html" r:id="rId65"/>
    <hyperlink xmlns:r="http://schemas.openxmlformats.org/officeDocument/2006/relationships" ref="G67" display="https://www.flashforge.com/" r:id="rId66"/>
    <hyperlink xmlns:r="http://schemas.openxmlformats.org/officeDocument/2006/relationships" ref="G68" display="https://fosiaudio.com/" r:id="rId67"/>
    <hyperlink xmlns:r="http://schemas.openxmlformats.org/officeDocument/2006/relationships" ref="G69" display="https://www.gl-inet.com/" r:id="rId68"/>
    <hyperlink xmlns:r="http://schemas.openxmlformats.org/officeDocument/2006/relationships" ref="G70" display="https://us.govee.com/" r:id="rId69"/>
    <hyperlink xmlns:r="http://schemas.openxmlformats.org/officeDocument/2006/relationships" ref="G71" display="https://www.theverge.com/tech/853006/govee-sky-ceiling-light-ultra-specs" r:id="rId70"/>
    <hyperlink xmlns:r="http://schemas.openxmlformats.org/officeDocument/2006/relationships" ref="G72" display="https://cincodias.elpais.com/smartlife/gadgets/2026-01-11/govee-amplia-su-ecosistema-de-iluminacion-inteligente-con-nuevas-lamparas-compatibles-con-matter.html" r:id="rId71"/>
    <hyperlink xmlns:r="http://schemas.openxmlformats.org/officeDocument/2006/relationships" ref="G73" display="https://us.govee.com/blogs/product-review-blog/ces-2026-tech" r:id="rId72"/>
    <hyperlink xmlns:r="http://schemas.openxmlformats.org/officeDocument/2006/relationships" ref="G74" display="https://www.hellobaby-monitor.com/" r:id="rId73"/>
    <hyperlink xmlns:r="http://schemas.openxmlformats.org/officeDocument/2006/relationships" ref="G75" display="https://www.hisense-usa.com/" r:id="rId74"/>
    <hyperlink xmlns:r="http://schemas.openxmlformats.org/officeDocument/2006/relationships" ref="G76" display="https://global.iflytek.com/" r:id="rId75"/>
    <hyperlink xmlns:r="http://schemas.openxmlformats.org/officeDocument/2006/relationships" ref="G77" display="https://www.insta360.com/" r:id="rId76"/>
    <hyperlink xmlns:r="http://schemas.openxmlformats.org/officeDocument/2006/relationships" ref="G78" display="https://www.insta360.com/blog/insta360-at-CES-2026.html" r:id="rId77"/>
    <hyperlink xmlns:r="http://schemas.openxmlformats.org/officeDocument/2006/relationships" ref="G79" display="https://www.theverge.com/tech/929125/insta360-360-go-3s-retro-bundle-viewfinder-accessory" r:id="rId78"/>
    <hyperlink xmlns:r="http://schemas.openxmlformats.org/officeDocument/2006/relationships" ref="G80" display="https://www.techradar.com/cameras/action-cameras/insta360-reveals-one-of-the-wackiest-camera-kits-for-2026-its-thumb-sized-4k-camera-with-no-screen-and-a-waist-level-optical-viewfinder" r:id="rId79"/>
    <hyperlink xmlns:r="http://schemas.openxmlformats.org/officeDocument/2006/relationships" ref="G81" display="https://jisulife.com/" r:id="rId80"/>
    <hyperlink xmlns:r="http://schemas.openxmlformats.org/officeDocument/2006/relationships" ref="G82" display="https://www.thedailybeast.com/the-future-of-hot-hair-tools-straight-from-ces-2026/" r:id="rId81"/>
    <hyperlink xmlns:r="http://schemas.openxmlformats.org/officeDocument/2006/relationships" ref="G83" display="https://nypost.com/2026/01/08/shopping/laifen-is-elevating-your-getting-ready-routine-with-newness-at-ces/" r:id="rId82"/>
    <hyperlink xmlns:r="http://schemas.openxmlformats.org/officeDocument/2006/relationships" ref="G84" display="https://nypost.com/2026/04/03/shopping/hidden-coupon-shop-this-hair-dryer-for-less-than-100/" r:id="rId83"/>
    <hyperlink xmlns:r="http://schemas.openxmlformats.org/officeDocument/2006/relationships" ref="G85" display="https://www.lenovo.com/us/en/" r:id="rId84"/>
    <hyperlink xmlns:r="http://schemas.openxmlformats.org/officeDocument/2006/relationships" ref="G86" display="https://levoit.com/" r:id="rId85"/>
    <hyperlink xmlns:r="http://schemas.openxmlformats.org/officeDocument/2006/relationships" ref="G87" display="https://www.lexar.com/" r:id="rId86"/>
    <hyperlink xmlns:r="http://schemas.openxmlformats.org/officeDocument/2006/relationships" ref="G88" display="https://www.midea.com/us/" r:id="rId87"/>
    <hyperlink xmlns:r="http://schemas.openxmlformats.org/officeDocument/2006/relationships" ref="G89" display="https://momcozy.com/" r:id="rId88"/>
    <hyperlink xmlns:r="http://schemas.openxmlformats.org/officeDocument/2006/relationships" ref="G90" display="https://www.dreametech.com/" r:id="rId89"/>
    <hyperlink xmlns:r="http://schemas.openxmlformats.org/officeDocument/2006/relationships" ref="G91" display="https://munbyn.com/" r:id="rId90"/>
    <hyperlink xmlns:r="http://schemas.openxmlformats.org/officeDocument/2006/relationships" ref="G92" display="https://www.narwal.com/" r:id="rId91"/>
    <hyperlink xmlns:r="http://schemas.openxmlformats.org/officeDocument/2006/relationships" ref="G93" display="https://www.niimbot.com/" r:id="rId92"/>
    <hyperlink xmlns:r="http://schemas.openxmlformats.org/officeDocument/2006/relationships" ref="G94" display="https://www.olightstore.com/" r:id="rId93"/>
    <hyperlink xmlns:r="http://schemas.openxmlformats.org/officeDocument/2006/relationships" ref="G95" display="https://phomemo.com/" r:id="rId94"/>
    <hyperlink xmlns:r="http://schemas.openxmlformats.org/officeDocument/2006/relationships" ref="G96" display="https://reolink.com/" r:id="rId95"/>
    <hyperlink xmlns:r="http://schemas.openxmlformats.org/officeDocument/2006/relationships" ref="G97" display="https://reolink.com/product/trackflex-floodlight-wifi/" r:id="rId96"/>
    <hyperlink xmlns:r="http://schemas.openxmlformats.org/officeDocument/2006/relationships" ref="G98" display="https://shokz.com/blogs/news/new-open-earbuds-openfit-pro" r:id="rId97"/>
    <hyperlink xmlns:r="http://schemas.openxmlformats.org/officeDocument/2006/relationships" ref="G99" display="https://shokz.com/blogs/news/shokz-at-ces-2026" r:id="rId98"/>
    <hyperlink xmlns:r="http://schemas.openxmlformats.org/officeDocument/2006/relationships" ref="G100" display="https://www.whathifi.com/headphones/wireless-earbuds/anker-claims-its-latest-pair-of-wireless-earbuds-are-the-first-of-their-kind" r:id="rId99"/>
    <hyperlink xmlns:r="http://schemas.openxmlformats.org/officeDocument/2006/relationships" ref="G101" display="https://www.sunlu.com/" r:id="rId100"/>
    <hyperlink xmlns:r="http://schemas.openxmlformats.org/officeDocument/2006/relationships" ref="G102" display="https://www.tcl.com/us/en" r:id="rId101"/>
    <hyperlink xmlns:r="http://schemas.openxmlformats.org/officeDocument/2006/relationships" ref="G103" display="https://tessan.com/" r:id="rId102"/>
    <hyperlink xmlns:r="http://schemas.openxmlformats.org/officeDocument/2006/relationships" ref="G104" display="https://www.topdon.com/" r:id="rId103"/>
    <hyperlink xmlns:r="http://schemas.openxmlformats.org/officeDocument/2006/relationships" ref="G105" display="https://tymobeauty.com/" r:id="rId104"/>
    <hyperlink xmlns:r="http://schemas.openxmlformats.org/officeDocument/2006/relationships" ref="G106" display="https://tymobeauty.com/blogs/the-latest/blow-dryer-for-curly-hair-what-to-look-for-in-2026" r:id="rId105"/>
    <hyperlink xmlns:r="http://schemas.openxmlformats.org/officeDocument/2006/relationships" ref="G107" display="https://www.ugreen.com/en-ae/blogs/news/ugreen-debuts-new-smart-ecosystem-at-ces-2026-led-by-ai-nas" r:id="rId106"/>
    <hyperlink xmlns:r="http://schemas.openxmlformats.org/officeDocument/2006/relationships" ref="G108" display="https://nascompares.com/tag/ugreen-nas-2026/" r:id="rId107"/>
    <hyperlink xmlns:r="http://schemas.openxmlformats.org/officeDocument/2006/relationships" ref="G109" display="https://www.ulike.com/blogs/hair-removal/best-ipl-device-for-beginners-in-2026-easy-first-picks" r:id="rId108"/>
    <hyperlink xmlns:r="http://schemas.openxmlformats.org/officeDocument/2006/relationships" ref="G110" display="https://www.vevor.com/" r:id="rId109"/>
    <hyperlink xmlns:r="http://schemas.openxmlformats.org/officeDocument/2006/relationships" ref="G111" display="https://www.waterdropfilter.com/" r:id="rId110"/>
    <hyperlink xmlns:r="http://schemas.openxmlformats.org/officeDocument/2006/relationships" ref="G112" display="https://www.idc.com/resource-center/blog/the-future-of-smart-glasses-was-on-full-display-at-ces-2026/" r:id="rId1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8" customWidth="1" style="26" min="2" max="2"/>
    <col width="20" customWidth="1" style="26" min="3" max="3"/>
    <col width="18" customWidth="1" style="26" min="4" max="4"/>
    <col width="50" customWidth="1" style="26" min="5" max="5"/>
    <col width="8" customWidth="1" style="26" min="6" max="6"/>
    <col width="14" customWidth="1" style="26" min="7" max="7"/>
    <col width="75" customWidth="1" style="26" min="8" max="8"/>
    <col width="12" customWidth="1" style="26" min="9" max="9"/>
    <col width="8" customWidth="1" style="26" min="10" max="10"/>
    <col width="60" customWidth="1" style="26" min="11" max="11"/>
  </cols>
  <sheetData>
    <row r="1">
      <c r="A1" s="27" t="inlineStr">
        <is>
          <t>行业分类</t>
        </is>
      </c>
      <c r="B1" s="27" t="inlineStr">
        <is>
          <t>国家</t>
        </is>
      </c>
      <c r="C1" s="27" t="inlineStr">
        <is>
          <t>一级行业</t>
        </is>
      </c>
      <c r="D1" s="27" t="inlineStr">
        <is>
          <t>品牌名称</t>
        </is>
      </c>
      <c r="E1" s="27" t="inlineStr">
        <is>
          <t>主营品类</t>
        </is>
      </c>
      <c r="F1" s="27" t="inlineStr">
        <is>
          <t>事件数</t>
        </is>
      </c>
      <c r="G1" s="27" t="inlineStr">
        <is>
          <t>底表GMV</t>
        </is>
      </c>
      <c r="H1" s="27" t="inlineStr">
        <is>
          <t>关键事件</t>
        </is>
      </c>
      <c r="I1" s="27" t="inlineStr">
        <is>
          <t>事件日期</t>
        </is>
      </c>
      <c r="J1" s="27" t="inlineStr">
        <is>
          <t>PR等级</t>
        </is>
      </c>
      <c r="K1" s="27" t="inlineStr">
        <is>
          <t>信源链接</t>
        </is>
      </c>
    </row>
    <row r="2">
      <c r="A2" s="28" t="inlineStr">
        <is>
          <t>3C</t>
        </is>
      </c>
      <c r="B2" s="28" t="inlineStr">
        <is>
          <t>美国</t>
        </is>
      </c>
      <c r="C2" s="28" t="inlineStr">
        <is>
          <t>电子配件和用品</t>
        </is>
      </c>
      <c r="D2" s="28" t="inlineStr">
        <is>
          <t>Anker</t>
        </is>
      </c>
      <c r="E2" s="29" t="inlineStr">
        <is>
          <t>手机配件 | 手机充电器和电源适配器 | 笔记本电脑扩展底座</t>
        </is>
      </c>
      <c r="F2" s="28" t="n">
        <v>2</v>
      </c>
      <c r="G2" s="28" t="inlineStr">
        <is>
          <t>$1014.6M</t>
        </is>
      </c>
      <c r="H2" s="29" t="inlineStr">
        <is>
          <t>2026-01-06，Anker Innovations在CES 2026展示Anker/eufy/Soundcore充电、智能家居、娱乐设备组合。</t>
        </is>
      </c>
      <c r="I2" s="28" t="inlineStr">
        <is>
          <t>2026-01-06</t>
        </is>
      </c>
      <c r="J2" s="28" t="inlineStr">
        <is>
          <t>高</t>
        </is>
      </c>
      <c r="K2" s="29" t="inlineStr">
        <is>
          <t>https://www.prnewswire.com/apac/news-releases/anker-innovations-showcases-iconic-lineup-of-charging-smart-home-and-entertainment-devices-during-ces-2026-302653788.html</t>
        </is>
      </c>
    </row>
    <row r="3">
      <c r="A3" s="28" t="inlineStr">
        <is>
          <t>3C</t>
        </is>
      </c>
      <c r="B3" s="28" t="inlineStr">
        <is>
          <t>美国</t>
        </is>
      </c>
      <c r="C3" s="28" t="inlineStr">
        <is>
          <t>手机配件</t>
        </is>
      </c>
      <c r="D3" s="28" t="inlineStr">
        <is>
          <t>Soundcore</t>
        </is>
      </c>
      <c r="E3" s="29" t="inlineStr">
        <is>
          <t>耳机、耳机和配件 | 词典、同义词库和翻译人员</t>
        </is>
      </c>
      <c r="F3" s="28" t="n">
        <v>2</v>
      </c>
      <c r="G3" s="28" t="inlineStr">
        <is>
          <t>$319.6M</t>
        </is>
      </c>
      <c r="H3" s="29" t="inlineStr">
        <is>
          <t>2026-01-06，随Anker Innovations CES 2026组合展示娱乐设备，适合追踪TWS/开放式音频新品。</t>
        </is>
      </c>
      <c r="I3" s="28" t="inlineStr">
        <is>
          <t>2026-01-06</t>
        </is>
      </c>
      <c r="J3" s="28" t="inlineStr">
        <is>
          <t>高</t>
        </is>
      </c>
      <c r="K3" s="29" t="inlineStr">
        <is>
          <t>https://www.prnewswire.com/apac/news-releases/anker-innovations-showcases-iconic-lineup-of-charging-smart-home-and-entertainment-devices-during-ces-2026-302653788.html</t>
        </is>
      </c>
    </row>
    <row r="4">
      <c r="A4" s="28" t="inlineStr">
        <is>
          <t>3C</t>
        </is>
      </c>
      <c r="B4" s="28" t="inlineStr">
        <is>
          <t>美国</t>
        </is>
      </c>
      <c r="C4" s="28" t="inlineStr">
        <is>
          <t>真空吸尘器和地板护理</t>
        </is>
      </c>
      <c r="D4" s="28" t="inlineStr">
        <is>
          <t>roborock</t>
        </is>
      </c>
      <c r="E4" s="29" t="inlineStr">
        <is>
          <t>家用真空吸尘器 | 车间干湿真空 | 真空吸尘器和地板护理</t>
        </is>
      </c>
      <c r="F4" s="28" t="n">
        <v>5</v>
      </c>
      <c r="G4" s="28" t="inlineStr">
        <is>
          <t>$251.8M</t>
        </is>
      </c>
      <c r="H4" s="29" t="inlineStr">
        <is>
          <t>2026年以来共5次新品/发布事件。 [2026-03-28] 2026-03-28，Roborock将CES 2026 headline launches带到澳洲，说明新品节奏从展会扩散到区域上市。； [2026-03-23] 2026-03-23，Roborock在北美发布Saros 20，把CES 2026的AI架构落地为面向高端家庭的旗舰产品。； [2026-03-12] 2026-03-12，Roborock引用IDC成为全球No.1智能清洁机器人品牌，并回扣CES 2026 Saros Z70/Saros Rover技术线。；</t>
        </is>
      </c>
      <c r="I4" s="28" t="inlineStr">
        <is>
          <t>2026-03-28</t>
        </is>
      </c>
      <c r="J4" s="28" t="inlineStr">
        <is>
          <t>高</t>
        </is>
      </c>
      <c r="K4" s="29" t="inlineStr">
        <is>
          <t>https://www.prnewswire.com/apac/news-releases/roborock-brings-its-ces-2026-headline-launches-to-australia-302727299.html</t>
        </is>
      </c>
    </row>
    <row r="5">
      <c r="A5" s="28" t="inlineStr">
        <is>
          <t>3C</t>
        </is>
      </c>
      <c r="B5" s="28" t="inlineStr">
        <is>
          <t>美国</t>
        </is>
      </c>
      <c r="C5" s="28" t="inlineStr">
        <is>
          <t>笔记本电脑</t>
        </is>
      </c>
      <c r="D5" s="28" t="inlineStr">
        <is>
          <t>Lenovo</t>
        </is>
      </c>
      <c r="E5" s="29" t="inlineStr">
        <is>
          <t>传统笔记本电脑 | 电脑平板电脑 | 笔记本电脑扩展底座</t>
        </is>
      </c>
      <c r="F5" s="28" t="n">
        <v>1</v>
      </c>
      <c r="G5" s="28" t="inlineStr">
        <is>
          <t>$249.7M</t>
        </is>
      </c>
      <c r="H5" s="29" t="inlineStr">
        <is>
          <t>2026年按AI PC、笔记本/平板和CES新品追踪；官方美国站为主体入口。</t>
        </is>
      </c>
      <c r="I5" s="28" t="inlineStr">
        <is>
          <t>0000-00-00</t>
        </is>
      </c>
      <c r="J5" s="28" t="inlineStr">
        <is>
          <t>中</t>
        </is>
      </c>
      <c r="K5" s="29" t="inlineStr">
        <is>
          <t>https://www.lenovo.com/us/en/</t>
        </is>
      </c>
    </row>
    <row r="6">
      <c r="A6" s="28" t="inlineStr">
        <is>
          <t>3C</t>
        </is>
      </c>
      <c r="B6" s="28" t="inlineStr">
        <is>
          <t>美国</t>
        </is>
      </c>
      <c r="C6" s="28" t="inlineStr">
        <is>
          <t>照明和吊扇</t>
        </is>
      </c>
      <c r="D6" s="28" t="inlineStr">
        <is>
          <t>Govee</t>
        </is>
      </c>
      <c r="E6" s="29" t="inlineStr">
        <is>
          <t>新颖的照明 | 照明组件 | 嵌入式灯具</t>
        </is>
      </c>
      <c r="F6" s="28" t="n">
        <v>4</v>
      </c>
      <c r="G6" s="28" t="inlineStr">
        <is>
          <t>$187.9M</t>
        </is>
      </c>
      <c r="H6" s="29" t="inlineStr">
        <is>
          <t>2026年按智能照明、AI home、CES/IFA新品和Matter生态追踪；官方站为主体入口。</t>
        </is>
      </c>
      <c r="I6" s="28" t="inlineStr">
        <is>
          <t>0000-00-00</t>
        </is>
      </c>
      <c r="J6" s="28" t="inlineStr">
        <is>
          <t>中</t>
        </is>
      </c>
      <c r="K6" s="29" t="inlineStr">
        <is>
          <t>https://us.govee.com/</t>
        </is>
      </c>
    </row>
    <row r="7">
      <c r="A7" s="28" t="inlineStr">
        <is>
          <t>3C</t>
        </is>
      </c>
      <c r="B7" s="28" t="inlineStr">
        <is>
          <t>美国</t>
        </is>
      </c>
      <c r="C7" s="28" t="inlineStr">
        <is>
          <t>电视和视频产品</t>
        </is>
      </c>
      <c r="D7" s="28" t="inlineStr">
        <is>
          <t>TCL</t>
        </is>
      </c>
      <c r="E7" s="29" t="inlineStr">
        <is>
          <t>电视 | 电脑平板电脑 | 吊扇和灯</t>
        </is>
      </c>
      <c r="F7" s="28" t="n">
        <v>1</v>
      </c>
      <c r="G7" s="28" t="inlineStr">
        <is>
          <t>$138.2M</t>
        </is>
      </c>
      <c r="H7" s="29" t="inlineStr">
        <is>
          <t>2026年按电视/显示/平板新品、CES和北美渠道追踪；官方美国站为主体入口。</t>
        </is>
      </c>
      <c r="I7" s="28" t="inlineStr">
        <is>
          <t>0000-00-00</t>
        </is>
      </c>
      <c r="J7" s="28" t="inlineStr">
        <is>
          <t>中</t>
        </is>
      </c>
      <c r="K7" s="29" t="inlineStr">
        <is>
          <t>https://www.tcl.com/us/en</t>
        </is>
      </c>
    </row>
    <row r="8">
      <c r="A8" s="28" t="inlineStr">
        <is>
          <t>3C</t>
        </is>
      </c>
      <c r="B8" s="28" t="inlineStr">
        <is>
          <t>美国</t>
        </is>
      </c>
      <c r="C8" s="28" t="inlineStr">
        <is>
          <t>电视和视频产品</t>
        </is>
      </c>
      <c r="D8" s="28" t="inlineStr">
        <is>
          <t>Hisense</t>
        </is>
      </c>
      <c r="E8" s="29" t="inlineStr">
        <is>
          <t>电视 | 房间空调器 | 家庭音频扬声器</t>
        </is>
      </c>
      <c r="F8" s="28" t="n">
        <v>1</v>
      </c>
      <c r="G8" s="28" t="inlineStr">
        <is>
          <t>$131.0M</t>
        </is>
      </c>
      <c r="H8" s="29" t="inlineStr">
        <is>
          <t>2026年按电视/显示/空调新品、CES和北美渠道追踪；官方美国站为主体入口。</t>
        </is>
      </c>
      <c r="I8" s="28" t="inlineStr">
        <is>
          <t>0000-00-00</t>
        </is>
      </c>
      <c r="J8" s="28" t="inlineStr">
        <is>
          <t>中</t>
        </is>
      </c>
      <c r="K8" s="29" t="inlineStr">
        <is>
          <t>https://www.hisense-usa.com/</t>
        </is>
      </c>
    </row>
    <row r="9">
      <c r="A9" s="28" t="inlineStr">
        <is>
          <t>3C</t>
        </is>
      </c>
      <c r="B9" s="28" t="inlineStr">
        <is>
          <t>美国</t>
        </is>
      </c>
      <c r="C9" s="28" t="inlineStr">
        <is>
          <t>电动工具和手动工具</t>
        </is>
      </c>
      <c r="D9" s="28" t="inlineStr">
        <is>
          <t>Tineco</t>
        </is>
      </c>
      <c r="E9" s="29" t="inlineStr">
        <is>
          <t>车间干湿真空</t>
        </is>
      </c>
      <c r="F9" s="28" t="n">
        <v>5</v>
      </c>
      <c r="G9" s="28" t="inlineStr">
        <is>
          <t>$129.0M</t>
        </is>
      </c>
      <c r="H9" s="29" t="inlineStr">
        <is>
          <t>2026年以来共5次新品/发布事件。 [2026-01-27] 2026-01-27，Tineco发布更平衡的智能地板护理产品线，延续CES后的现代家庭清洁叙事。； [2026-01-20] 2026-01-20，Tineco在加拿大推出FLOOR ONE S9 Artist Steam，显示CES后新品进入北美区域上市节奏。； [2026-01-13] 2026-01-13，Tineco披露FLOOR ONE S9 Scientist成为CES 2026组合中最获媒体认可的产品，适合作为达人测评钩子。；</t>
        </is>
      </c>
      <c r="I9" s="28" t="inlineStr">
        <is>
          <t>2026-01-27</t>
        </is>
      </c>
      <c r="J9" s="28" t="inlineStr">
        <is>
          <t>高</t>
        </is>
      </c>
      <c r="K9" s="29" t="inlineStr">
        <is>
          <t>https://www.prnewswire.com/news-releases/tineco-elevates-modern-living-with-a-smarter-more-balanced-floor-care-portfolio-302671067.html</t>
        </is>
      </c>
    </row>
    <row r="10">
      <c r="A10" s="28" t="inlineStr">
        <is>
          <t>3C</t>
        </is>
      </c>
      <c r="B10" s="28" t="inlineStr">
        <is>
          <t>美国</t>
        </is>
      </c>
      <c r="C10" s="28" t="inlineStr">
        <is>
          <t>电子配件和用品</t>
        </is>
      </c>
      <c r="D10" s="28" t="inlineStr">
        <is>
          <t>DJI</t>
        </is>
      </c>
      <c r="E10" s="29" t="inlineStr">
        <is>
          <t>录音话筒和配件 | 手机照片和视频配件 | 相机和照片配件</t>
        </is>
      </c>
      <c r="F10" s="28" t="n">
        <v>1</v>
      </c>
      <c r="G10" s="28" t="inlineStr">
        <is>
          <t>$121.7M</t>
        </is>
      </c>
      <c r="H10" s="29" t="inlineStr">
        <is>
          <t>2026-04-17，DJI在NAB 2026展示Osmo 360、Osmo Nano、Osmo Action 6等创作者工具；2026-04-28发布DJI Mic Mini 2。</t>
        </is>
      </c>
      <c r="I10" s="28" t="inlineStr">
        <is>
          <t>2026-04-17</t>
        </is>
      </c>
      <c r="J10" s="28" t="inlineStr">
        <is>
          <t>高</t>
        </is>
      </c>
      <c r="K10" s="29" t="inlineStr">
        <is>
          <t>https://www.prnewswire.com/news-releases/dji-showcases-best-in-class-creator-tools-at-nab-2026-302740271.html
https://www.prnewswire.com/news-releases/sound-and-style-combined-dji-mic-mini-2-delivers-upleveled-audio-and-all-in-one-storage-302754199.html</t>
        </is>
      </c>
    </row>
    <row r="11">
      <c r="A11" s="28" t="inlineStr">
        <is>
          <t>3C</t>
        </is>
      </c>
      <c r="B11" s="28" t="inlineStr">
        <is>
          <t>美国</t>
        </is>
      </c>
      <c r="C11" s="28" t="inlineStr">
        <is>
          <t>造型工具和设备</t>
        </is>
      </c>
      <c r="D11" s="28" t="inlineStr">
        <is>
          <t>TYMO</t>
        </is>
      </c>
      <c r="E11" s="29" t="inlineStr">
        <is>
          <t>发型熨斗</t>
        </is>
      </c>
      <c r="F11" s="28" t="n">
        <v>2</v>
      </c>
      <c r="G11" s="28" t="inlineStr">
        <is>
          <t>$113.8M</t>
        </is>
      </c>
      <c r="H11" s="29" t="inlineStr">
        <is>
          <t>2026-05-01，TYMO官网博客围绕AIRHYPE吹风机做卷发场景教育，官网存在和内容运营可作为非白牌/内容投放信号。</t>
        </is>
      </c>
      <c r="I11" s="28" t="inlineStr">
        <is>
          <t>2026-05-01</t>
        </is>
      </c>
      <c r="J11" s="28" t="inlineStr">
        <is>
          <t>中</t>
        </is>
      </c>
      <c r="K11" s="29" t="inlineStr">
        <is>
          <t>https://tymobeauty.com/blogs/the-latest/blow-dryer-for-curly-hair-what-to-look-for-in-2026</t>
        </is>
      </c>
    </row>
    <row r="12">
      <c r="A12" s="28" t="inlineStr">
        <is>
          <t>3C</t>
        </is>
      </c>
      <c r="B12" s="28" t="inlineStr">
        <is>
          <t>美国</t>
        </is>
      </c>
      <c r="C12" s="28" t="inlineStr">
        <is>
          <t>增材制造产品</t>
        </is>
      </c>
      <c r="D12" s="28" t="inlineStr">
        <is>
          <t>Creality</t>
        </is>
      </c>
      <c r="E12" s="29" t="inlineStr">
        <is>
          <t>3D打印机</t>
        </is>
      </c>
      <c r="F12" s="28" t="n">
        <v>3</v>
      </c>
      <c r="G12" s="28" t="inlineStr">
        <is>
          <t>$105.2M</t>
        </is>
      </c>
      <c r="H12" s="29" t="inlineStr">
        <is>
          <t>2026年以来共2次新品/发布事件。 [2026-04-16] 2026-04-16，Creality在TCT 2026展示next-gen smart creation ecosystem，SPARKX i7继续作为核心新品出现。； [2026-01-07] 2026-01-07，Creality SPARKX i7在CES 2026首次亮相，主打AI工具、自动化和普通创作者多色打印。；</t>
        </is>
      </c>
      <c r="I12" s="28" t="inlineStr">
        <is>
          <t>2026-04-16</t>
        </is>
      </c>
      <c r="J12" s="28" t="inlineStr">
        <is>
          <t>中</t>
        </is>
      </c>
      <c r="K12" s="29" t="inlineStr">
        <is>
          <t>https://www.thailand-business-news.com/pr-news/creality-shines-at-tct-2026-with-next-gen-smart-creation-ecosystem</t>
        </is>
      </c>
    </row>
    <row r="13">
      <c r="A13" s="28" t="inlineStr">
        <is>
          <t>3C</t>
        </is>
      </c>
      <c r="B13" s="28" t="inlineStr">
        <is>
          <t>美国</t>
        </is>
      </c>
      <c r="C13" s="28" t="inlineStr">
        <is>
          <t>加热、冷却和空气质量</t>
        </is>
      </c>
      <c r="D13" s="28" t="inlineStr">
        <is>
          <t>Midea</t>
        </is>
      </c>
      <c r="E13" s="29" t="inlineStr">
        <is>
          <t>房间空调器 | 紧凑型冰箱 | 冰箱水过滤器</t>
        </is>
      </c>
      <c r="F13" s="28" t="n">
        <v>1</v>
      </c>
      <c r="G13" s="28" t="inlineStr">
        <is>
          <t>$101.2M</t>
        </is>
      </c>
      <c r="H13" s="29" t="inlineStr">
        <is>
          <t>2026年按北美便携/窗式空调、Home Depot/Costco线下渠道和Amazon季节性爆发追踪；官方美国站为主体入口。</t>
        </is>
      </c>
      <c r="I13" s="28" t="inlineStr">
        <is>
          <t>0000-00-00</t>
        </is>
      </c>
      <c r="J13" s="28" t="inlineStr">
        <is>
          <t>中</t>
        </is>
      </c>
      <c r="K13" s="29" t="inlineStr">
        <is>
          <t>https://www.midea.com/us/</t>
        </is>
      </c>
    </row>
    <row r="14">
      <c r="A14" s="28" t="inlineStr">
        <is>
          <t>3C</t>
        </is>
      </c>
      <c r="B14" s="28" t="inlineStr">
        <is>
          <t>美国</t>
        </is>
      </c>
      <c r="C14" s="28" t="inlineStr">
        <is>
          <t>电气设备</t>
        </is>
      </c>
      <c r="D14" s="28" t="inlineStr">
        <is>
          <t>TESSAN</t>
        </is>
      </c>
      <c r="E14" s="29" t="inlineStr">
        <is>
          <t>功率转换器 | 电源带和浪涌保护器 | 互连</t>
        </is>
      </c>
      <c r="F14" s="28" t="n">
        <v>1</v>
      </c>
      <c r="G14" s="28" t="inlineStr">
        <is>
          <t>$95.4M</t>
        </is>
      </c>
      <c r="H14" s="29" t="inlineStr">
        <is>
          <t>2026年按旅行适配器、电源插座、USB-C统一趋势和UL/ETL认证追踪；官方站为主体入口。</t>
        </is>
      </c>
      <c r="I14" s="28" t="inlineStr">
        <is>
          <t>0000-00-00</t>
        </is>
      </c>
      <c r="J14" s="28" t="inlineStr">
        <is>
          <t>中</t>
        </is>
      </c>
      <c r="K14" s="29" t="inlineStr">
        <is>
          <t>https://tessan.com/</t>
        </is>
      </c>
    </row>
    <row r="15">
      <c r="A15" s="28" t="inlineStr">
        <is>
          <t>3C</t>
        </is>
      </c>
      <c r="B15" s="28" t="inlineStr">
        <is>
          <t>美国</t>
        </is>
      </c>
      <c r="C15" s="28" t="inlineStr">
        <is>
          <t>相机和照片配件</t>
        </is>
      </c>
      <c r="D15" s="28" t="inlineStr">
        <is>
          <t>Lexar</t>
        </is>
      </c>
      <c r="E15" s="29" t="inlineStr">
        <is>
          <t>Micro SD存储卡 | 手机配件 | 存储卡</t>
        </is>
      </c>
      <c r="F15" s="28" t="n">
        <v>1</v>
      </c>
      <c r="G15" s="28" t="inlineStr">
        <is>
          <t>$92.5M</t>
        </is>
      </c>
      <c r="H15" s="29" t="inlineStr">
        <is>
          <t>2026年按存储卡/SSD/创作者存储新品追踪；官方站为主体入口。</t>
        </is>
      </c>
      <c r="I15" s="28" t="inlineStr">
        <is>
          <t>0000-00-00</t>
        </is>
      </c>
      <c r="J15" s="28" t="inlineStr">
        <is>
          <t>中</t>
        </is>
      </c>
      <c r="K15" s="29" t="inlineStr">
        <is>
          <t>https://www.lexar.com/</t>
        </is>
      </c>
    </row>
    <row r="16">
      <c r="A16" s="28" t="inlineStr">
        <is>
          <t>3C</t>
        </is>
      </c>
      <c r="B16" s="28" t="inlineStr">
        <is>
          <t>美国</t>
        </is>
      </c>
      <c r="C16" s="28" t="inlineStr">
        <is>
          <t>安全与安保</t>
        </is>
      </c>
      <c r="D16" s="28" t="inlineStr">
        <is>
          <t>aosu</t>
        </is>
      </c>
      <c r="E16" s="29" t="inlineStr">
        <is>
          <t>家庭安全和监控系统 | 子弹监控摄像头 | 门铃</t>
        </is>
      </c>
      <c r="F16" s="28" t="n">
        <v>1</v>
      </c>
      <c r="G16" s="28" t="inlineStr">
        <is>
          <t>$78.6M</t>
        </is>
      </c>
      <c r="H16" s="29" t="inlineStr">
        <is>
          <t>2026年按无订阅安防摄像头、Cortex/T2 Ultra等AI安防新品追踪；官方站为主体入口。</t>
        </is>
      </c>
      <c r="I16" s="28" t="inlineStr">
        <is>
          <t>0000-00-00</t>
        </is>
      </c>
      <c r="J16" s="28" t="inlineStr">
        <is>
          <t>中</t>
        </is>
      </c>
      <c r="K16" s="29" t="inlineStr">
        <is>
          <t>https://www.aosulife.com/</t>
        </is>
      </c>
    </row>
    <row r="17">
      <c r="A17" s="28" t="inlineStr">
        <is>
          <t>3C</t>
        </is>
      </c>
      <c r="B17" s="28" t="inlineStr">
        <is>
          <t>美国</t>
        </is>
      </c>
      <c r="C17" s="28" t="inlineStr">
        <is>
          <t>电子配件和用品</t>
        </is>
      </c>
      <c r="D17" s="28" t="inlineStr">
        <is>
          <t>UGREEN</t>
        </is>
      </c>
      <c r="E17" s="29" t="inlineStr">
        <is>
          <t>手机配件 | 手机充电器和电源适配器 | 家庭影院配件</t>
        </is>
      </c>
      <c r="F17" s="28" t="n">
        <v>5</v>
      </c>
      <c r="G17" s="28" t="inlineStr">
        <is>
          <t>$78.0M</t>
        </is>
      </c>
      <c r="H17" s="29" t="inlineStr">
        <is>
          <t>2026年以来共4次新品/发布事件。 [2026-01-13] 2026-01-13，UGREEN在CES 2026发布AI NAS领衔的新智能生态；2025年有Best Buy/Walmart渠道扩张与Qi2 25W MagFlow新品。； [2026-01-13] 2026-01-13，UGREEN官网新闻页收录CES 2026 AI NAS生态发布，官网本身可作为非白牌品牌信号。； [2026-01-09] 2026-01-09，UGREEN发布AI NAS生态，强调智能存储、家庭安防和高级充电，说明从配件向智能生态迁移。；</t>
        </is>
      </c>
      <c r="I17" s="28" t="inlineStr">
        <is>
          <t>2026-02-02</t>
        </is>
      </c>
      <c r="J17" s="28" t="inlineStr">
        <is>
          <t>中</t>
        </is>
      </c>
      <c r="K17" s="29" t="inlineStr">
        <is>
          <t>https://nascompares.com/tag/ugreen-nas-2026/</t>
        </is>
      </c>
    </row>
    <row r="18">
      <c r="A18" s="28" t="inlineStr">
        <is>
          <t>3C</t>
        </is>
      </c>
      <c r="B18" s="28" t="inlineStr">
        <is>
          <t>美国</t>
        </is>
      </c>
      <c r="C18" s="28" t="inlineStr">
        <is>
          <t>真空吸尘器和地板护理</t>
        </is>
      </c>
      <c r="D18" s="28" t="inlineStr">
        <is>
          <t>eufy</t>
        </is>
      </c>
      <c r="E18" s="29" t="inlineStr">
        <is>
          <t>家用真空吸尘器 | 户外照明产品</t>
        </is>
      </c>
      <c r="F18" s="28" t="n">
        <v>2</v>
      </c>
      <c r="G18" s="28" t="inlineStr">
        <is>
          <t>$77.1M</t>
        </is>
      </c>
      <c r="H18" s="29" t="inlineStr">
        <is>
          <t>2026-01-06，随Anker Innovations CES 2026组合展示智能家居设备。</t>
        </is>
      </c>
      <c r="I18" s="28" t="inlineStr">
        <is>
          <t>2026-01-06</t>
        </is>
      </c>
      <c r="J18" s="28" t="inlineStr">
        <is>
          <t>高</t>
        </is>
      </c>
      <c r="K18" s="29" t="inlineStr">
        <is>
          <t>https://www.prnewswire.com/apac/news-releases/anker-innovations-showcases-iconic-lineup-of-charging-smart-home-and-entertainment-devices-during-ces-2026-302653788.html</t>
        </is>
      </c>
    </row>
    <row r="19">
      <c r="A19" s="28" t="inlineStr">
        <is>
          <t>3C</t>
        </is>
      </c>
      <c r="B19" s="28" t="inlineStr">
        <is>
          <t>美国</t>
        </is>
      </c>
      <c r="C19" s="28" t="inlineStr">
        <is>
          <t>厨房小家电</t>
        </is>
      </c>
      <c r="D19" s="28" t="inlineStr">
        <is>
          <t>COSORI</t>
        </is>
      </c>
      <c r="E19" s="29" t="inlineStr">
        <is>
          <t>油炸锅 | 小型家电配件</t>
        </is>
      </c>
      <c r="F19" s="28" t="n">
        <v>1</v>
      </c>
      <c r="G19" s="28" t="inlineStr">
        <is>
          <t>$75.1M</t>
        </is>
      </c>
      <c r="H19" s="29" t="inlineStr">
        <is>
          <t>2026年按空气炸锅、TikTok食谱内容、厨电新品和渠道扩张追踪；官方站为主体入口。</t>
        </is>
      </c>
      <c r="I19" s="28" t="inlineStr">
        <is>
          <t>0000-00-00</t>
        </is>
      </c>
      <c r="J19" s="28" t="inlineStr">
        <is>
          <t>中</t>
        </is>
      </c>
      <c r="K19" s="29" t="inlineStr">
        <is>
          <t>https://cosori.com/</t>
        </is>
      </c>
    </row>
    <row r="20">
      <c r="A20" s="28" t="inlineStr">
        <is>
          <t>3C</t>
        </is>
      </c>
      <c r="B20" s="28" t="inlineStr">
        <is>
          <t>美国</t>
        </is>
      </c>
      <c r="C20" s="28" t="inlineStr">
        <is>
          <t>增材制造产品</t>
        </is>
      </c>
      <c r="D20" s="28" t="inlineStr">
        <is>
          <t>SUNLU</t>
        </is>
      </c>
      <c r="E20" s="29" t="inlineStr">
        <is>
          <t>3D打印耗材</t>
        </is>
      </c>
      <c r="F20" s="28" t="n">
        <v>1</v>
      </c>
      <c r="G20" s="28" t="inlineStr">
        <is>
          <t>$71.8M</t>
        </is>
      </c>
      <c r="H20" s="29" t="inlineStr">
        <is>
          <t>2026年按3D打印耗材/干燥盒/多色生态追踪；官方站为主体入口。</t>
        </is>
      </c>
      <c r="I20" s="28" t="inlineStr">
        <is>
          <t>0000-00-00</t>
        </is>
      </c>
      <c r="J20" s="28" t="inlineStr">
        <is>
          <t>中</t>
        </is>
      </c>
      <c r="K20" s="29" t="inlineStr">
        <is>
          <t>https://www.sunlu.com/</t>
        </is>
      </c>
    </row>
    <row r="21">
      <c r="A21" s="28" t="inlineStr">
        <is>
          <t>3C</t>
        </is>
      </c>
      <c r="B21" s="28" t="inlineStr">
        <is>
          <t>美国</t>
        </is>
      </c>
      <c r="C21" s="28" t="inlineStr">
        <is>
          <t>增材制造产品</t>
        </is>
      </c>
      <c r="D21" s="28" t="inlineStr">
        <is>
          <t>FLASHFORGE</t>
        </is>
      </c>
      <c r="E21" s="29" t="inlineStr">
        <is>
          <t>3D打印机</t>
        </is>
      </c>
      <c r="F21" s="28" t="n">
        <v>1</v>
      </c>
      <c r="G21" s="28" t="inlineStr">
        <is>
          <t>$67.2M</t>
        </is>
      </c>
      <c r="H21" s="29" t="inlineStr">
        <is>
          <t>2026年按消费级3D打印机与耗材生态追踪；官方站为主体入口。</t>
        </is>
      </c>
      <c r="I21" s="28" t="inlineStr">
        <is>
          <t>0000-00-00</t>
        </is>
      </c>
      <c r="J21" s="28" t="inlineStr">
        <is>
          <t>中</t>
        </is>
      </c>
      <c r="K21" s="29" t="inlineStr">
        <is>
          <t>https://www.flashforge.com/</t>
        </is>
      </c>
    </row>
    <row r="22">
      <c r="A22" s="28" t="inlineStr">
        <is>
          <t>3C</t>
        </is>
      </c>
      <c r="B22" s="28" t="inlineStr">
        <is>
          <t>美国</t>
        </is>
      </c>
      <c r="C22" s="28" t="inlineStr">
        <is>
          <t>真空吸尘器和地板护理</t>
        </is>
      </c>
      <c r="D22" s="28" t="inlineStr">
        <is>
          <t>DREAME</t>
        </is>
      </c>
      <c r="E22" s="29" t="inlineStr">
        <is>
          <t>家用真空吸尘器 | 车间干湿真空 | 头发多样式器</t>
        </is>
      </c>
      <c r="F22" s="28" t="n">
        <v>7</v>
      </c>
      <c r="G22" s="28" t="inlineStr">
        <is>
          <t>$62.2M</t>
        </is>
      </c>
      <c r="H22" s="29" t="inlineStr">
        <is>
          <t>2026年以来共7次新品/发布事件。 [2026-01-27] 2026-01-27，Dreame在硅谷展示2026 home appliance vision，强调机器人自治和AI-powered living，属于CES后美国市场二次传播。； [2026-01-16] 2026-01-16，Dreame披露CES 2026多项行业奖项，智能清洁、美容科技、可穿戴同时出现，说明其从清洁设备扩张到全屋/个人电子生态。； [2026-01-14] 2026-01-14，Dreame CES 2026收官披露获得50+奖项，核心产品含X60 Max Ultra、Aero Pro、A3 AWD Pro、AI Ring RG001。；</t>
        </is>
      </c>
      <c r="I22" s="28" t="inlineStr">
        <is>
          <t>2026-01-27</t>
        </is>
      </c>
      <c r="J22" s="28" t="inlineStr">
        <is>
          <t>高</t>
        </is>
      </c>
      <c r="K22" s="29" t="inlineStr">
        <is>
          <t>https://www.prnewswire.com/news-releases/dreame-unveils-beyond-smart-home-ecosystem-in-silicon-valley-showcasing-a-future-of-robotic-autonomy-and-ai-powered-living-302670608.html</t>
        </is>
      </c>
    </row>
    <row r="23">
      <c r="A23" s="28" t="inlineStr">
        <is>
          <t>3C</t>
        </is>
      </c>
      <c r="B23" s="28" t="inlineStr">
        <is>
          <t>美国</t>
        </is>
      </c>
      <c r="C23" s="28" t="inlineStr">
        <is>
          <t>安全与安保</t>
        </is>
      </c>
      <c r="D23" s="28" t="inlineStr">
        <is>
          <t>OLIGHT</t>
        </is>
      </c>
      <c r="E23" s="29" t="inlineStr">
        <is>
          <t>手电筒 | 壁灯装置 | 互连</t>
        </is>
      </c>
      <c r="F23" s="28" t="n">
        <v>1</v>
      </c>
      <c r="G23" s="28" t="inlineStr">
        <is>
          <t>$61.9M</t>
        </is>
      </c>
      <c r="H23" s="29" t="inlineStr">
        <is>
          <t>2026年按战术/EDC手电新品、社群运营、Shot Show/CES展会追踪；官方美国站为主体入口。</t>
        </is>
      </c>
      <c r="I23" s="28" t="inlineStr">
        <is>
          <t>0000-00-00</t>
        </is>
      </c>
      <c r="J23" s="28" t="inlineStr">
        <is>
          <t>中</t>
        </is>
      </c>
      <c r="K23" s="29" t="inlineStr">
        <is>
          <t>https://www.olightstore.com/</t>
        </is>
      </c>
    </row>
    <row r="24">
      <c r="A24" s="28" t="inlineStr">
        <is>
          <t>3C</t>
        </is>
      </c>
      <c r="B24" s="28" t="inlineStr">
        <is>
          <t>美国</t>
        </is>
      </c>
      <c r="C24" s="28" t="inlineStr">
        <is>
          <t>手机配件</t>
        </is>
      </c>
      <c r="D24" s="28" t="inlineStr">
        <is>
          <t>Baseus</t>
        </is>
      </c>
      <c r="E24" s="29" t="inlineStr">
        <is>
          <t>手机充电器和电源适配器 | 电子配件和用品 | 笔记本电脑扩展底座</t>
        </is>
      </c>
      <c r="F24" s="28" t="n">
        <v>4</v>
      </c>
      <c r="G24" s="28" t="inlineStr">
        <is>
          <t>$60.7M</t>
        </is>
      </c>
      <c r="H24" s="29" t="inlineStr">
        <is>
          <t>2026-02-09，Baseus Security宣布Kickstarter成功后的X1 Pro双AI追踪安防摄像头进入Amazon，披露2800+支持者与821826美元众筹金额。</t>
        </is>
      </c>
      <c r="I24" s="28" t="inlineStr">
        <is>
          <t>2026-02-09</t>
        </is>
      </c>
      <c r="J24" s="28" t="inlineStr">
        <is>
          <t>高</t>
        </is>
      </c>
      <c r="K24" s="29" t="inlineStr">
        <is>
          <t>https://pressreleasehub.pa.media/article/baseus-security-brings-kickstarter-success-x1-pro-smart-ai-dual-tracking-security-camera-to-amazon-67358.html</t>
        </is>
      </c>
    </row>
    <row r="25">
      <c r="A25" s="28" t="inlineStr">
        <is>
          <t>3C</t>
        </is>
      </c>
      <c r="B25" s="28" t="inlineStr">
        <is>
          <t>美国</t>
        </is>
      </c>
      <c r="C25" s="28" t="inlineStr">
        <is>
          <t>电动工具和手动工具</t>
        </is>
      </c>
      <c r="D25" s="28" t="inlineStr">
        <is>
          <t>VEVOR</t>
        </is>
      </c>
      <c r="E25" s="29" t="inlineStr">
        <is>
          <t>工业手动工具 | 专用厨房用具 | 手动工具</t>
        </is>
      </c>
      <c r="F25" s="28" t="n">
        <v>1</v>
      </c>
      <c r="G25" s="28" t="inlineStr">
        <is>
          <t>$59.7M</t>
        </is>
      </c>
      <c r="H25" s="29" t="inlineStr">
        <is>
          <t>2026年按工具/厨电/商用设备多品类扩张和美国DTC渠道追踪；官方站为主体入口。</t>
        </is>
      </c>
      <c r="I25" s="28" t="inlineStr">
        <is>
          <t>0000-00-00</t>
        </is>
      </c>
      <c r="J25" s="28" t="inlineStr">
        <is>
          <t>中</t>
        </is>
      </c>
      <c r="K25" s="29" t="inlineStr">
        <is>
          <t>https://www.vevor.com/</t>
        </is>
      </c>
    </row>
    <row r="26">
      <c r="A26" s="28" t="inlineStr">
        <is>
          <t>3C</t>
        </is>
      </c>
      <c r="B26" s="28" t="inlineStr">
        <is>
          <t>美国</t>
        </is>
      </c>
      <c r="C26" s="28" t="inlineStr">
        <is>
          <t>安全与安保</t>
        </is>
      </c>
      <c r="D26" s="28" t="inlineStr">
        <is>
          <t>REOLINK</t>
        </is>
      </c>
      <c r="E26" s="29" t="inlineStr">
        <is>
          <t>家庭安全和监控系统</t>
        </is>
      </c>
      <c r="F26" s="28" t="n">
        <v>4</v>
      </c>
      <c r="G26" s="28" t="inlineStr">
        <is>
          <t>$59.2M</t>
        </is>
      </c>
      <c r="H26" s="29" t="inlineStr">
        <is>
          <t>2026年以来共2次新品/发布事件。 [2026-01-26] 2026-01-26，Reolink发布TrackFlex Floodlight WiFi，4K双镜头、360°覆盖、本地AI视频搜索，已在美国上市。； [2026-01-07] 2026-01-07，Reolink在CES 2026发布AI Box和24MP三镜头旗舰安全摄像头，强化无订阅AI安防路线。；</t>
        </is>
      </c>
      <c r="I26" s="28" t="inlineStr">
        <is>
          <t>2026-01-26</t>
        </is>
      </c>
      <c r="J26" s="28" t="inlineStr">
        <is>
          <t>高</t>
        </is>
      </c>
      <c r="K26" s="29" t="inlineStr">
        <is>
          <t>https://www.prnewswire.com/news-releases/reolink-launches-trackflex-floodlight-wifi-with-360-degree-coverage-302669821.html</t>
        </is>
      </c>
    </row>
    <row r="27">
      <c r="A27" s="28" t="inlineStr">
        <is>
          <t>3C</t>
        </is>
      </c>
      <c r="B27" s="28" t="inlineStr">
        <is>
          <t>美国</t>
        </is>
      </c>
      <c r="C27" s="28" t="inlineStr">
        <is>
          <t>真空吸尘器和地板护理</t>
        </is>
      </c>
      <c r="D27" s="28" t="inlineStr">
        <is>
          <t>ECOVACS</t>
        </is>
      </c>
      <c r="E27" s="29" t="inlineStr">
        <is>
          <t>家用真空吸尘器</t>
        </is>
      </c>
      <c r="F27" s="28" t="n">
        <v>2</v>
      </c>
      <c r="G27" s="28" t="inlineStr">
        <is>
          <t>$57.4M</t>
        </is>
      </c>
      <c r="H27" s="29" t="inlineStr">
        <is>
          <t>2026年以来共2次新品/发布事件。 [2026-01-12] 2026-01-12，ECOVACS披露CES 2026获得三项GTB Awards，属于服务机器人领导力背书。； [2026-01-06] 2026-01-06，ECOVACS在CES 2026展示DEEBOT T90 PRO OMNI、DEEBOT X12 Family、ULTRAMARINE、GOAT、WINBOT等全场景服务机器人。；</t>
        </is>
      </c>
      <c r="I27" s="28" t="inlineStr">
        <is>
          <t>2026-01-12</t>
        </is>
      </c>
      <c r="J27" s="28" t="inlineStr">
        <is>
          <t>高</t>
        </is>
      </c>
      <c r="K27" s="29" t="inlineStr">
        <is>
          <t>https://www.prnewswire.com/news-releases/ecovacs-gains-further-international-recognition-as-a-service-robotics-leader-winning-three-gtb-awards-at-ces-2026-302658344.html</t>
        </is>
      </c>
    </row>
    <row r="28">
      <c r="A28" s="28" t="inlineStr">
        <is>
          <t>3C</t>
        </is>
      </c>
      <c r="B28" s="28" t="inlineStr">
        <is>
          <t>美国</t>
        </is>
      </c>
      <c r="C28" s="28" t="inlineStr">
        <is>
          <t>增材制造产品</t>
        </is>
      </c>
      <c r="D28" s="28" t="inlineStr">
        <is>
          <t>ELEGOO</t>
        </is>
      </c>
      <c r="E28" s="29" t="inlineStr">
        <is>
          <t>3D打印耗材 | 半导体产品 | 中继器</t>
        </is>
      </c>
      <c r="F28" s="28" t="n">
        <v>5</v>
      </c>
      <c r="G28" s="28" t="inlineStr">
        <is>
          <t>$54.5M</t>
        </is>
      </c>
      <c r="H28" s="29" t="inlineStr">
        <is>
          <t>2026年以来共3次新品/发布事件。 [2026-04-16] 2026-04-16，ELEGOO在RAPID+TCT 2026宣布Jupiter 2全球发布，并展示Centauri Carbon多色系统。； [2026-01-26] 2026-01-26，ELEGOO正式发布Centauri Carbon 2 Combo，PRNewswire分发，主打CANVAS系统与家庭用户。； [2026-01-19] 2026-01-19，ELEGOO宣布Centauri Carbon 2 Combo将于1月26日发布，定位家庭友好多色3D打印机。；</t>
        </is>
      </c>
      <c r="I28" s="28" t="inlineStr">
        <is>
          <t>2026-04-16</t>
        </is>
      </c>
      <c r="J28" s="28" t="inlineStr">
        <is>
          <t>高</t>
        </is>
      </c>
      <c r="K28" s="29" t="inlineStr">
        <is>
          <t>https://en.prnasia.com/releases/global/elegoo-announces-jupiter-2-global-launch-and-debuts-the-multicolor-system-for-centauri-carbon-at-rapid-tct-2026-529391.shtml</t>
        </is>
      </c>
    </row>
    <row r="29">
      <c r="A29" s="28" t="inlineStr">
        <is>
          <t>3C</t>
        </is>
      </c>
      <c r="B29" s="28" t="inlineStr">
        <is>
          <t>美国</t>
        </is>
      </c>
      <c r="C29" s="28" t="inlineStr">
        <is>
          <t>婴儿安全产品</t>
        </is>
      </c>
      <c r="D29" s="28" t="inlineStr">
        <is>
          <t>HelloBaby</t>
        </is>
      </c>
      <c r="E29" s="29" t="inlineStr">
        <is>
          <t>婴儿监视器 | 电话</t>
        </is>
      </c>
      <c r="F29" s="28" t="n">
        <v>1</v>
      </c>
      <c r="G29" s="28" t="inlineStr">
        <is>
          <t>$48.7M</t>
        </is>
      </c>
      <c r="H29" s="29" t="inlineStr">
        <is>
          <t>2026年按AI婴儿监视器、呼吸/睡眠/哭声识别等婴童智能化新品追踪；官方站为主体入口。</t>
        </is>
      </c>
      <c r="I29" s="28" t="inlineStr">
        <is>
          <t>0000-00-00</t>
        </is>
      </c>
      <c r="J29" s="28" t="inlineStr">
        <is>
          <t>中</t>
        </is>
      </c>
      <c r="K29" s="29" t="inlineStr">
        <is>
          <t>https://www.hellobaby-monitor.com/</t>
        </is>
      </c>
    </row>
    <row r="30">
      <c r="A30" s="28" t="inlineStr">
        <is>
          <t>3C</t>
        </is>
      </c>
      <c r="B30" s="28" t="inlineStr">
        <is>
          <t>美国</t>
        </is>
      </c>
      <c r="C30" s="28" t="inlineStr">
        <is>
          <t>加热、冷却和空气质量</t>
        </is>
      </c>
      <c r="D30" s="28" t="inlineStr">
        <is>
          <t>Levoit</t>
        </is>
      </c>
      <c r="E30" s="29" t="inlineStr">
        <is>
          <t>家用空气净化器</t>
        </is>
      </c>
      <c r="F30" s="28" t="n">
        <v>1</v>
      </c>
      <c r="G30" s="28" t="inlineStr">
        <is>
          <t>$46.6M</t>
        </is>
      </c>
      <c r="H30" s="29" t="inlineStr">
        <is>
          <t>2026年按空气净化器、HEPA滤芯复购、CARB/ENERGY STAR认证和Subscribe &amp; Save追踪；官方站为主体入口。</t>
        </is>
      </c>
      <c r="I30" s="28" t="inlineStr">
        <is>
          <t>0000-00-00</t>
        </is>
      </c>
      <c r="J30" s="28" t="inlineStr">
        <is>
          <t>中</t>
        </is>
      </c>
      <c r="K30" s="29" t="inlineStr">
        <is>
          <t>https://levoit.com/</t>
        </is>
      </c>
    </row>
    <row r="31">
      <c r="A31" s="28" t="inlineStr">
        <is>
          <t>3C</t>
        </is>
      </c>
      <c r="B31" s="28" t="inlineStr">
        <is>
          <t>美国</t>
        </is>
      </c>
      <c r="C31" s="28" t="inlineStr">
        <is>
          <t>增材制造产品</t>
        </is>
      </c>
      <c r="D31" s="28" t="inlineStr">
        <is>
          <t>ANYCUBIC</t>
        </is>
      </c>
      <c r="E31" s="29" t="inlineStr">
        <is>
          <t>3D打印耗材</t>
        </is>
      </c>
      <c r="F31" s="28" t="n">
        <v>1</v>
      </c>
      <c r="G31" s="28" t="inlineStr">
        <is>
          <t>$41.3M</t>
        </is>
      </c>
      <c r="H31" s="29" t="inlineStr">
        <is>
          <t>2026年按消费级3D打印机、光固化/多色和耗材生态追踪；官方站为主体入口。</t>
        </is>
      </c>
      <c r="I31" s="28" t="inlineStr">
        <is>
          <t>0000-00-00</t>
        </is>
      </c>
      <c r="J31" s="28" t="inlineStr">
        <is>
          <t>中</t>
        </is>
      </c>
      <c r="K31" s="29" t="inlineStr">
        <is>
          <t>https://store.anycubic.com/</t>
        </is>
      </c>
    </row>
    <row r="32">
      <c r="A32" s="28" t="inlineStr">
        <is>
          <t>3C</t>
        </is>
      </c>
      <c r="B32" s="28" t="inlineStr">
        <is>
          <t>美国</t>
        </is>
      </c>
      <c r="C32" s="28" t="inlineStr">
        <is>
          <t>电脑打印机</t>
        </is>
      </c>
      <c r="D32" s="28" t="inlineStr">
        <is>
          <t>Phomemo</t>
        </is>
      </c>
      <c r="E32" s="29" t="inlineStr">
        <is>
          <t>桌面标签打印机 | 电脑打印机</t>
        </is>
      </c>
      <c r="F32" s="28" t="n">
        <v>1</v>
      </c>
      <c r="G32" s="28" t="inlineStr">
        <is>
          <t>$39.8M</t>
        </is>
      </c>
      <c r="H32" s="29" t="inlineStr">
        <is>
          <t>2026年按热敏标签打印、标签纸订阅、IPO与美国渠道追踪；官方站为主体入口。</t>
        </is>
      </c>
      <c r="I32" s="28" t="inlineStr">
        <is>
          <t>0000-00-00</t>
        </is>
      </c>
      <c r="J32" s="28" t="inlineStr">
        <is>
          <t>中</t>
        </is>
      </c>
      <c r="K32" s="29" t="inlineStr">
        <is>
          <t>https://phomemo.com/</t>
        </is>
      </c>
    </row>
    <row r="33">
      <c r="A33" s="28" t="inlineStr">
        <is>
          <t>3C</t>
        </is>
      </c>
      <c r="B33" s="28" t="inlineStr">
        <is>
          <t>美国</t>
        </is>
      </c>
      <c r="C33" s="28" t="inlineStr">
        <is>
          <t>加热、冷却和空气质量</t>
        </is>
      </c>
      <c r="D33" s="28" t="inlineStr">
        <is>
          <t>JISULIFE</t>
        </is>
      </c>
      <c r="E33" s="29" t="inlineStr">
        <is>
          <t>家用风扇</t>
        </is>
      </c>
      <c r="F33" s="28" t="n">
        <v>1</v>
      </c>
      <c r="G33" s="28" t="inlineStr">
        <is>
          <t>$37.5M</t>
        </is>
      </c>
      <c r="H33" s="29" t="inlineStr">
        <is>
          <t>2026年按个人风扇、挂脖风扇、TikTok内容驱动与夏季季节性爆发追踪；官方站为主体入口。</t>
        </is>
      </c>
      <c r="I33" s="28" t="inlineStr">
        <is>
          <t>0000-00-00</t>
        </is>
      </c>
      <c r="J33" s="28" t="inlineStr">
        <is>
          <t>中</t>
        </is>
      </c>
      <c r="K33" s="29" t="inlineStr">
        <is>
          <t>https://jisulife.com/</t>
        </is>
      </c>
    </row>
    <row r="34">
      <c r="A34" s="28" t="inlineStr">
        <is>
          <t>3C</t>
        </is>
      </c>
      <c r="B34" s="28" t="inlineStr">
        <is>
          <t>美国</t>
        </is>
      </c>
      <c r="C34" s="28" t="inlineStr">
        <is>
          <t>穿戴式科技</t>
        </is>
      </c>
      <c r="D34" s="28" t="inlineStr">
        <is>
          <t>Amazfit</t>
        </is>
      </c>
      <c r="E34" s="29" t="inlineStr">
        <is>
          <t>智能手表</t>
        </is>
      </c>
      <c r="F34" s="28" t="n">
        <v>1</v>
      </c>
      <c r="G34" s="28" t="inlineStr">
        <is>
          <t>$31.1M</t>
        </is>
      </c>
      <c r="H34" s="29" t="inlineStr">
        <is>
          <t>2026年按Zepp Health/Amazfit健康可穿戴新品、CES和AI健康功能追踪；官方站为主体入口。</t>
        </is>
      </c>
      <c r="I34" s="28" t="inlineStr">
        <is>
          <t>0000-00-00</t>
        </is>
      </c>
      <c r="J34" s="28" t="inlineStr">
        <is>
          <t>中</t>
        </is>
      </c>
      <c r="K34" s="29" t="inlineStr">
        <is>
          <t>https://www.amazfit.com/</t>
        </is>
      </c>
    </row>
    <row r="35">
      <c r="A35" s="28" t="inlineStr">
        <is>
          <t>3C</t>
        </is>
      </c>
      <c r="B35" s="28" t="inlineStr">
        <is>
          <t>美国</t>
        </is>
      </c>
      <c r="C35" s="28" t="inlineStr">
        <is>
          <t>办公电子产品</t>
        </is>
      </c>
      <c r="D35" s="28" t="inlineStr">
        <is>
          <t>NIIMBOT</t>
        </is>
      </c>
      <c r="E35" s="29" t="inlineStr">
        <is>
          <t>电脑打印机 | 桌面标签打印机 | 贴标机和标签卷</t>
        </is>
      </c>
      <c r="F35" s="28" t="n">
        <v>1</v>
      </c>
      <c r="G35" s="28" t="inlineStr">
        <is>
          <t>$29.2M</t>
        </is>
      </c>
      <c r="H35" s="29" t="inlineStr">
        <is>
          <t>2026年按热敏标签打印机、标签耗材订阅与Amazon排名追踪；官方站为主体入口。</t>
        </is>
      </c>
      <c r="I35" s="28" t="inlineStr">
        <is>
          <t>0000-00-00</t>
        </is>
      </c>
      <c r="J35" s="28" t="inlineStr">
        <is>
          <t>中</t>
        </is>
      </c>
      <c r="K35" s="29" t="inlineStr">
        <is>
          <t>https://www.niimbot.com/</t>
        </is>
      </c>
    </row>
    <row r="36">
      <c r="A36" s="28" t="inlineStr">
        <is>
          <t>3C</t>
        </is>
      </c>
      <c r="B36" s="28" t="inlineStr">
        <is>
          <t>美国</t>
        </is>
      </c>
      <c r="C36" s="28" t="inlineStr">
        <is>
          <t>计算机网络</t>
        </is>
      </c>
      <c r="D36" s="28" t="inlineStr">
        <is>
          <t>GL.iNet</t>
        </is>
      </c>
      <c r="E36" s="29" t="inlineStr">
        <is>
          <t>计算机路由器 | 电脑切换器 | 家庭自动化设备</t>
        </is>
      </c>
      <c r="F36" s="28" t="n">
        <v>1</v>
      </c>
      <c r="G36" s="28" t="inlineStr">
        <is>
          <t>$28.6M</t>
        </is>
      </c>
      <c r="H36" s="29" t="inlineStr">
        <is>
          <t>2026年重点追踪旅行路由器/OpenWrt/VPN/WiFi 7与美国路由器合规窗口；官方站为主体确认。</t>
        </is>
      </c>
      <c r="I36" s="28" t="inlineStr">
        <is>
          <t>0000-00-00</t>
        </is>
      </c>
      <c r="J36" s="28" t="inlineStr">
        <is>
          <t>中</t>
        </is>
      </c>
      <c r="K36" s="29" t="inlineStr">
        <is>
          <t>https://www.gl-inet.com/</t>
        </is>
      </c>
    </row>
    <row r="37">
      <c r="A37" s="28" t="inlineStr">
        <is>
          <t>3C</t>
        </is>
      </c>
      <c r="B37" s="28" t="inlineStr">
        <is>
          <t>美国</t>
        </is>
      </c>
      <c r="C37" s="28" t="inlineStr">
        <is>
          <t>汽车工具和设备</t>
        </is>
      </c>
      <c r="D37" s="28" t="inlineStr">
        <is>
          <t>TOPDON</t>
        </is>
      </c>
      <c r="E37" s="29" t="inlineStr">
        <is>
          <t>诊断、测试和测量工具</t>
        </is>
      </c>
      <c r="F37" s="28" t="n">
        <v>1</v>
      </c>
      <c r="G37" s="28" t="inlineStr">
        <is>
          <t>$25.3M</t>
        </is>
      </c>
      <c r="H37" s="29" t="inlineStr">
        <is>
          <t>2026年按汽车诊断、热成像、跳启电源等汽车电子新品追踪；官方站为主体入口。</t>
        </is>
      </c>
      <c r="I37" s="28" t="inlineStr">
        <is>
          <t>0000-00-00</t>
        </is>
      </c>
      <c r="J37" s="28" t="inlineStr">
        <is>
          <t>中</t>
        </is>
      </c>
      <c r="K37" s="29" t="inlineStr">
        <is>
          <t>https://www.topdon.com/</t>
        </is>
      </c>
    </row>
    <row r="38">
      <c r="A38" s="28" t="inlineStr">
        <is>
          <t>3C</t>
        </is>
      </c>
      <c r="B38" s="28" t="inlineStr">
        <is>
          <t>美国</t>
        </is>
      </c>
      <c r="C38" s="28" t="inlineStr">
        <is>
          <t>真空吸尘器和地板护理</t>
        </is>
      </c>
      <c r="D38" s="28" t="inlineStr">
        <is>
          <t>NARWAL</t>
        </is>
      </c>
      <c r="E38" s="29" t="inlineStr">
        <is>
          <t>家用真空吸尘器 | 车间干湿真空 | 真空吸尘器和地板护理</t>
        </is>
      </c>
      <c r="F38" s="28" t="n">
        <v>1</v>
      </c>
      <c r="G38" s="28" t="inlineStr">
        <is>
          <t>$24.5M</t>
        </is>
      </c>
      <c r="H38" s="29" t="inlineStr">
        <is>
          <t>2026年按机器人清洁新品、CES/IFA展会和北美上新追踪；官方品牌站可作主体确认。</t>
        </is>
      </c>
      <c r="I38" s="28" t="inlineStr">
        <is>
          <t>0000-00-00</t>
        </is>
      </c>
      <c r="J38" s="28" t="inlineStr">
        <is>
          <t>中</t>
        </is>
      </c>
      <c r="K38" s="29" t="inlineStr">
        <is>
          <t>https://www.narwal.com/</t>
        </is>
      </c>
    </row>
    <row r="39">
      <c r="A39" s="28" t="inlineStr">
        <is>
          <t>3C</t>
        </is>
      </c>
      <c r="B39" s="28" t="inlineStr">
        <is>
          <t>美国</t>
        </is>
      </c>
      <c r="C39" s="28" t="inlineStr">
        <is>
          <t>家庭音频和剧院产品</t>
        </is>
      </c>
      <c r="D39" s="28" t="inlineStr">
        <is>
          <t>Edifier</t>
        </is>
      </c>
      <c r="E39" s="29" t="inlineStr">
        <is>
          <t>家庭音频扬声器 | 计算机音频和视频附件 | 耳塞式耳机</t>
        </is>
      </c>
      <c r="F39" s="28" t="n">
        <v>1</v>
      </c>
      <c r="G39" s="28" t="inlineStr">
        <is>
          <t>$24.3M</t>
        </is>
      </c>
      <c r="H39" s="29" t="inlineStr">
        <is>
          <t>2026年按家庭音频/桌面音箱/耳机新品和海外渠道追踪；官方站为主体入口。</t>
        </is>
      </c>
      <c r="I39" s="28" t="inlineStr">
        <is>
          <t>0000-00-00</t>
        </is>
      </c>
      <c r="J39" s="28" t="inlineStr">
        <is>
          <t>中</t>
        </is>
      </c>
      <c r="K39" s="29" t="inlineStr">
        <is>
          <t>https://www.edifier.com/</t>
        </is>
      </c>
    </row>
    <row r="40">
      <c r="A40" s="28" t="inlineStr">
        <is>
          <t>3C</t>
        </is>
      </c>
      <c r="B40" s="28" t="inlineStr">
        <is>
          <t>美国</t>
        </is>
      </c>
      <c r="C40" s="28" t="inlineStr">
        <is>
          <t>增材制造产品</t>
        </is>
      </c>
      <c r="D40" s="28" t="inlineStr">
        <is>
          <t>BAMBULAB</t>
        </is>
      </c>
      <c r="E40" s="29" t="inlineStr">
        <is>
          <t>3D打印机</t>
        </is>
      </c>
      <c r="F40" s="28" t="n">
        <v>1</v>
      </c>
      <c r="G40" s="28" t="inlineStr">
        <is>
          <t>$21.9M</t>
        </is>
      </c>
      <c r="H40" s="29" t="inlineStr">
        <is>
          <t>2026年按多色3D打印、耗材生态和桌面消费级扩张追踪；官方站为主体入口。</t>
        </is>
      </c>
      <c r="I40" s="28" t="inlineStr">
        <is>
          <t>0000-00-00</t>
        </is>
      </c>
      <c r="J40" s="28" t="inlineStr">
        <is>
          <t>中</t>
        </is>
      </c>
      <c r="K40" s="29" t="inlineStr">
        <is>
          <t>https://bambulab.com/</t>
        </is>
      </c>
    </row>
    <row r="41">
      <c r="A41" s="28" t="inlineStr">
        <is>
          <t>3C</t>
        </is>
      </c>
      <c r="B41" s="28" t="inlineStr">
        <is>
          <t>美国</t>
        </is>
      </c>
      <c r="C41" s="28" t="inlineStr">
        <is>
          <t>汽车工具和设备</t>
        </is>
      </c>
      <c r="D41" s="28" t="inlineStr">
        <is>
          <t>Autel</t>
        </is>
      </c>
      <c r="E41" s="29" t="inlineStr">
        <is>
          <t>诊断、测试和测量工具 | 电气测试仪</t>
        </is>
      </c>
      <c r="F41" s="28" t="n">
        <v>1</v>
      </c>
      <c r="G41" s="28" t="inlineStr">
        <is>
          <t>$18.9M</t>
        </is>
      </c>
      <c r="H41" s="29" t="inlineStr">
        <is>
          <t>2026年按汽车诊断/扫描工具、新能源车维修设备和美国渠道追踪；官方站为主体入口。</t>
        </is>
      </c>
      <c r="I41" s="28" t="inlineStr">
        <is>
          <t>0000-00-00</t>
        </is>
      </c>
      <c r="J41" s="28" t="inlineStr">
        <is>
          <t>中</t>
        </is>
      </c>
      <c r="K41" s="29" t="inlineStr">
        <is>
          <t>https://www.autel.com/</t>
        </is>
      </c>
    </row>
    <row r="42">
      <c r="A42" s="28" t="inlineStr">
        <is>
          <t>3C</t>
        </is>
      </c>
      <c r="B42" s="28" t="inlineStr">
        <is>
          <t>美国</t>
        </is>
      </c>
      <c r="C42" s="28" t="inlineStr">
        <is>
          <t>真空吸尘器和地板护理</t>
        </is>
      </c>
      <c r="D42" s="28" t="inlineStr">
        <is>
          <t>Mova</t>
        </is>
      </c>
      <c r="E42" s="29" t="inlineStr">
        <is>
          <t>家用真空吸尘器</t>
        </is>
      </c>
      <c r="F42" s="28" t="n">
        <v>1</v>
      </c>
      <c r="G42" s="28" t="inlineStr">
        <is>
          <t>$17.3M</t>
        </is>
      </c>
      <c r="H42" s="29" t="inlineStr">
        <is>
          <t>2026年可按Dreame系智能清洁/全屋生态新品路径追踪，重点检索MOVA robot vacuum Amazon launch/CES/IFA。</t>
        </is>
      </c>
      <c r="I42" s="28" t="inlineStr">
        <is>
          <t>0000-00-00</t>
        </is>
      </c>
      <c r="J42" s="28" t="inlineStr">
        <is>
          <t>中</t>
        </is>
      </c>
      <c r="K42" s="29" t="inlineStr">
        <is>
          <t>https://www.dreametech.com/</t>
        </is>
      </c>
    </row>
    <row r="43">
      <c r="A43" s="28" t="inlineStr">
        <is>
          <t>3C</t>
        </is>
      </c>
      <c r="B43" s="28" t="inlineStr">
        <is>
          <t>美国</t>
        </is>
      </c>
      <c r="C43" s="28" t="inlineStr">
        <is>
          <t>办公电子产品</t>
        </is>
      </c>
      <c r="D43" s="28" t="inlineStr">
        <is>
          <t>MUNBYN</t>
        </is>
      </c>
      <c r="E43" s="29" t="inlineStr">
        <is>
          <t>电脑打印机 | 桌面标签打印机 | 电脑平板电脑</t>
        </is>
      </c>
      <c r="F43" s="28" t="n">
        <v>1</v>
      </c>
      <c r="G43" s="28" t="inlineStr">
        <is>
          <t>$16.0M</t>
        </is>
      </c>
      <c r="H43" s="29" t="inlineStr">
        <is>
          <t>2026年按热敏标签打印、商家/SOHO场景和耗材复购追踪；官方站为主体入口。</t>
        </is>
      </c>
      <c r="I43" s="28" t="inlineStr">
        <is>
          <t>0000-00-00</t>
        </is>
      </c>
      <c r="J43" s="28" t="inlineStr">
        <is>
          <t>中</t>
        </is>
      </c>
      <c r="K43" s="29" t="inlineStr">
        <is>
          <t>https://munbyn.com/</t>
        </is>
      </c>
    </row>
    <row r="44">
      <c r="A44" s="28" t="inlineStr">
        <is>
          <t>3C</t>
        </is>
      </c>
      <c r="B44" s="28" t="inlineStr">
        <is>
          <t>美国</t>
        </is>
      </c>
      <c r="C44" s="28" t="inlineStr">
        <is>
          <t>电气设备</t>
        </is>
      </c>
      <c r="D44" s="28" t="inlineStr">
        <is>
          <t>Aqara</t>
        </is>
      </c>
      <c r="E44" s="29" t="inlineStr">
        <is>
          <t>家庭自动化设备 | 家庭安全和监控系统 | 子弹监控摄像头</t>
        </is>
      </c>
      <c r="F44" s="28" t="n">
        <v>1</v>
      </c>
      <c r="G44" s="28" t="inlineStr">
        <is>
          <t>$12.8M</t>
        </is>
      </c>
      <c r="H44" s="29" t="inlineStr">
        <is>
          <t>2026年按智能家居/Matter/摄像头/门锁新品和美国渠道追踪；官方美国站为主体入口。</t>
        </is>
      </c>
      <c r="I44" s="28" t="inlineStr">
        <is>
          <t>0000-00-00</t>
        </is>
      </c>
      <c r="J44" s="28" t="inlineStr">
        <is>
          <t>中</t>
        </is>
      </c>
      <c r="K44" s="29" t="inlineStr">
        <is>
          <t>https://www.aqara.com/us/</t>
        </is>
      </c>
    </row>
    <row r="45">
      <c r="A45" s="28" t="inlineStr">
        <is>
          <t>3C</t>
        </is>
      </c>
      <c r="B45" s="28" t="inlineStr">
        <is>
          <t>美国</t>
        </is>
      </c>
      <c r="C45" s="28" t="inlineStr">
        <is>
          <t>婴儿安全产品</t>
        </is>
      </c>
      <c r="D45" s="28" t="inlineStr">
        <is>
          <t>Momcozy</t>
        </is>
      </c>
      <c r="E45" s="29" t="inlineStr">
        <is>
          <t>婴儿监视器 | 家用空气净化器 | 儿童安全设备</t>
        </is>
      </c>
      <c r="F45" s="28" t="n">
        <v>1</v>
      </c>
      <c r="G45" s="28" t="inlineStr">
        <is>
          <t>$12.8M</t>
        </is>
      </c>
      <c r="H45" s="29" t="inlineStr">
        <is>
          <t>2026年按母婴智能设备、泵奶/婴儿监视器和美国渠道追踪；官方站为主体入口。</t>
        </is>
      </c>
      <c r="I45" s="28" t="inlineStr">
        <is>
          <t>0000-00-00</t>
        </is>
      </c>
      <c r="J45" s="28" t="inlineStr">
        <is>
          <t>中</t>
        </is>
      </c>
      <c r="K45" s="29" t="inlineStr">
        <is>
          <t>https://momcozy.com/</t>
        </is>
      </c>
    </row>
    <row r="46">
      <c r="A46" s="28" t="inlineStr">
        <is>
          <t>3C</t>
        </is>
      </c>
      <c r="B46" s="28" t="inlineStr">
        <is>
          <t>美国</t>
        </is>
      </c>
      <c r="C46" s="28" t="inlineStr">
        <is>
          <t>家用电器</t>
        </is>
      </c>
      <c r="D46" s="28" t="inlineStr">
        <is>
          <t>Waterdrop</t>
        </is>
      </c>
      <c r="E46" s="29" t="inlineStr">
        <is>
          <t>冰箱水过滤器</t>
        </is>
      </c>
      <c r="F46" s="28" t="n">
        <v>1</v>
      </c>
      <c r="G46" s="28" t="inlineStr">
        <is>
          <t>$11.1M</t>
        </is>
      </c>
      <c r="H46" s="29" t="inlineStr">
        <is>
          <t>2026年按冰箱/净水滤芯耗材、订阅复购和兼容替代追踪；官方站为主体入口。</t>
        </is>
      </c>
      <c r="I46" s="28" t="inlineStr">
        <is>
          <t>0000-00-00</t>
        </is>
      </c>
      <c r="J46" s="28" t="inlineStr">
        <is>
          <t>中</t>
        </is>
      </c>
      <c r="K46" s="29" t="inlineStr">
        <is>
          <t>https://www.waterdropfilter.com/</t>
        </is>
      </c>
    </row>
    <row r="47">
      <c r="A47" s="28" t="inlineStr">
        <is>
          <t>3C</t>
        </is>
      </c>
      <c r="B47" s="28" t="inlineStr">
        <is>
          <t>美国</t>
        </is>
      </c>
      <c r="C47" s="28" t="inlineStr">
        <is>
          <t>家庭音频和剧院产品</t>
        </is>
      </c>
      <c r="D47" s="28" t="inlineStr">
        <is>
          <t>Fosi Audio</t>
        </is>
      </c>
      <c r="E47" s="29" t="inlineStr">
        <is>
          <t>家用立体声系统组件 | 耳塞式耳机 | 计算机网络天线</t>
        </is>
      </c>
      <c r="F47" s="28" t="n">
        <v>1</v>
      </c>
      <c r="G47" s="28" t="inlineStr">
        <is>
          <t>$11.0M</t>
        </is>
      </c>
      <c r="H47" s="29" t="inlineStr">
        <is>
          <t>2026年按桌面HiFi功放/众筹/发烧友社群新品追踪；官方站为主体入口。</t>
        </is>
      </c>
      <c r="I47" s="28" t="inlineStr">
        <is>
          <t>0000-00-00</t>
        </is>
      </c>
      <c r="J47" s="28" t="inlineStr">
        <is>
          <t>中</t>
        </is>
      </c>
      <c r="K47" s="29" t="inlineStr">
        <is>
          <t>https://fosiaudio.com/</t>
        </is>
      </c>
    </row>
    <row r="48">
      <c r="A48" s="28" t="inlineStr">
        <is>
          <t>3C</t>
        </is>
      </c>
      <c r="B48" s="28" t="inlineStr">
        <is>
          <t>美国</t>
        </is>
      </c>
      <c r="C48" s="28" t="inlineStr">
        <is>
          <t>电脑平板电脑</t>
        </is>
      </c>
      <c r="D48" s="28" t="inlineStr">
        <is>
          <t>BOOX</t>
        </is>
      </c>
      <c r="E48" s="29" t="inlineStr">
        <is>
          <t>电脑平板电脑 | 电子书阅读器 | 计算机输入设备</t>
        </is>
      </c>
      <c r="F48" s="28" t="n">
        <v>1</v>
      </c>
      <c r="G48" s="28" t="inlineStr">
        <is>
          <t>$10.0M</t>
        </is>
      </c>
      <c r="H48" s="29" t="inlineStr">
        <is>
          <t>2026年按e-ink平板/类纸书写/Android开放生态新品追踪；官方站为主体入口。</t>
        </is>
      </c>
      <c r="I48" s="28" t="inlineStr">
        <is>
          <t>0000-00-00</t>
        </is>
      </c>
      <c r="J48" s="28" t="inlineStr">
        <is>
          <t>中</t>
        </is>
      </c>
      <c r="K48" s="29" t="inlineStr">
        <is>
          <t>https://shop.boox.com/</t>
        </is>
      </c>
    </row>
    <row r="49">
      <c r="A49" s="28" t="inlineStr">
        <is>
          <t>3C</t>
        </is>
      </c>
      <c r="B49" s="28" t="inlineStr">
        <is>
          <t>美国</t>
        </is>
      </c>
      <c r="C49" s="28" t="inlineStr">
        <is>
          <t>相机和照片配件</t>
        </is>
      </c>
      <c r="D49" s="28" t="inlineStr">
        <is>
          <t>Insta360</t>
        </is>
      </c>
      <c r="E49" s="29" t="inlineStr">
        <is>
          <t>相机和照片配件 | 计算机音频和视频附件 | GPS、查找器和配件</t>
        </is>
      </c>
      <c r="F49" s="28" t="n">
        <v>5</v>
      </c>
      <c r="G49" s="28" t="inlineStr">
        <is>
          <t>$7.6M</t>
        </is>
      </c>
      <c r="H49" s="29" t="inlineStr">
        <is>
          <t>2026年以来共2次新品/发布事件。 [2026-05-11] 2026-05-11，Insta360官网CES 2026复盘披露X5、GO Ultra、Ace Pro 2、Flow 2 Pro等旗舰产品线展示，官网专题可作为品牌活跃信号。； [2026-04-19] 2026-04-19，Insta360在NAB Show 2026预览Luna Series，并发布多项产品、bundle和软件更新，属于创作者工具新品窗口。；</t>
        </is>
      </c>
      <c r="I49" s="28" t="inlineStr">
        <is>
          <t>2026-05-11</t>
        </is>
      </c>
      <c r="J49" s="28" t="inlineStr">
        <is>
          <t>中</t>
        </is>
      </c>
      <c r="K49" s="29" t="inlineStr">
        <is>
          <t>https://www.insta360.com/blog/insta360-at-CES-2026.html</t>
        </is>
      </c>
    </row>
    <row r="50">
      <c r="A50" s="28" t="inlineStr">
        <is>
          <t>3C</t>
        </is>
      </c>
      <c r="B50" s="28" t="inlineStr">
        <is>
          <t>美国</t>
        </is>
      </c>
      <c r="C50" s="28" t="inlineStr">
        <is>
          <t>电脑平板电脑</t>
        </is>
      </c>
      <c r="D50" s="28" t="inlineStr">
        <is>
          <t>iflytek</t>
        </is>
      </c>
      <c r="E50" s="29" t="inlineStr">
        <is>
          <t>电脑平板电脑 | 词典、同义词库和翻译人员 | 录音笔</t>
        </is>
      </c>
      <c r="F50" s="28" t="n">
        <v>1</v>
      </c>
      <c r="G50" s="28" t="inlineStr">
        <is>
          <t>$7.3M</t>
        </is>
      </c>
      <c r="H50" s="29" t="inlineStr">
        <is>
          <t>2026年按AI办公本、智能转写设备、海外上新与YouTube商务场景测评追踪。</t>
        </is>
      </c>
      <c r="I50" s="28" t="inlineStr">
        <is>
          <t>0000-00-00</t>
        </is>
      </c>
      <c r="J50" s="28" t="inlineStr">
        <is>
          <t>中</t>
        </is>
      </c>
      <c r="K50" s="29" t="inlineStr">
        <is>
          <t>https://global.iflytek.com/</t>
        </is>
      </c>
    </row>
    <row r="51">
      <c r="A51" s="28" t="inlineStr">
        <is>
          <t>3C</t>
        </is>
      </c>
      <c r="B51" s="28" t="inlineStr">
        <is>
          <t>美国</t>
        </is>
      </c>
      <c r="C51" s="28" t="inlineStr">
        <is>
          <t>造型工具和设备</t>
        </is>
      </c>
      <c r="D51" s="28" t="inlineStr">
        <is>
          <t>Laifen</t>
        </is>
      </c>
      <c r="E51" s="29" t="inlineStr">
        <is>
          <t>吹风机和配件</t>
        </is>
      </c>
      <c r="F51" s="28" t="n">
        <v>4</v>
      </c>
      <c r="G51" s="28" t="inlineStr">
        <is>
          <t>$4.8M</t>
        </is>
      </c>
      <c r="H51" s="29" t="inlineStr">
        <is>
          <t>2026年以来共2次新品/发布事件。 [2026-01-08] 2026-01-08，纽约邮报报道Laifen在CES 2026展示Wave Pro Electric Toothbrush、Mini Hair Dryer、Swift 4 Hair Dryer。； [2026-01-05] 2026-01-05，Laifen在CES发布Mini Hair Dryer、Swift 4 Hair Dryer等个人护理创新新品。；</t>
        </is>
      </c>
      <c r="I51" s="28" t="inlineStr">
        <is>
          <t>2026-04-03</t>
        </is>
      </c>
      <c r="J51" s="28" t="inlineStr">
        <is>
          <t>中</t>
        </is>
      </c>
      <c r="K51" s="29" t="inlineStr">
        <is>
          <t>https://nypost.com/2026/04/03/shopping/hidden-coupon-shop-this-hair-dryer-for-less-than-100/</t>
        </is>
      </c>
    </row>
    <row r="52">
      <c r="A52" s="28" t="inlineStr">
        <is>
          <t>3C</t>
        </is>
      </c>
      <c r="B52" s="28" t="inlineStr">
        <is>
          <t>美国</t>
        </is>
      </c>
      <c r="C52" s="28" t="inlineStr">
        <is>
          <t>穿戴式科技</t>
        </is>
      </c>
      <c r="D52" s="28" t="inlineStr">
        <is>
          <t>Rokid</t>
        </is>
      </c>
      <c r="E52" s="29" t="inlineStr">
        <is>
          <t>智能眼镜</t>
        </is>
      </c>
      <c r="F52" s="28" t="n">
        <v>1</v>
      </c>
      <c r="G52" s="28" t="inlineStr">
        <is>
          <t>$0.2M</t>
        </is>
      </c>
      <c r="H52" s="29" t="inlineStr">
        <is>
          <t>2025-12-29/2026 CES窗口，Rokid预告AI Glasses Style并参加CES 2026，虽然发布时间在2025年底，但事件窗口是2026 CES。</t>
        </is>
      </c>
      <c r="I52" s="28" t="inlineStr">
        <is>
          <t>2025-12-29</t>
        </is>
      </c>
      <c r="J52" s="28" t="inlineStr">
        <is>
          <t>高</t>
        </is>
      </c>
      <c r="K52" s="29" t="inlineStr">
        <is>
          <t>https://www.prnewswire.com/news-releases/rokid-previews-ai-glasses-style-ahead-of-ces-2026-302649916.html</t>
        </is>
      </c>
    </row>
    <row r="53">
      <c r="A53" s="28" t="inlineStr">
        <is>
          <t>3C</t>
        </is>
      </c>
      <c r="B53" s="28" t="inlineStr">
        <is>
          <t>美国</t>
        </is>
      </c>
      <c r="C53" s="28" t="inlineStr">
        <is>
          <t>未在底表中找到</t>
        </is>
      </c>
      <c r="D53" s="28" t="inlineStr">
        <is>
          <t>Aiper</t>
        </is>
      </c>
      <c r="E53" s="30" t="inlineStr">
        <is>
          <t>未在3C底表中找到（可能归属其他品类或品牌名不同）</t>
        </is>
      </c>
      <c r="F53" s="28" t="n">
        <v>3</v>
      </c>
      <c r="G53" s="28" t="inlineStr">
        <is>
          <t>$0.0M</t>
        </is>
      </c>
      <c r="H53" s="29" t="inlineStr">
        <is>
          <t>2026-04-22，Aiper披露新研究称其为全球No.1智能泳池清洁机器人品牌，基于2026 manufacturer sales volume。</t>
        </is>
      </c>
      <c r="I53" s="28" t="inlineStr">
        <is>
          <t>2026-04-22</t>
        </is>
      </c>
      <c r="J53" s="28" t="inlineStr">
        <is>
          <t>高</t>
        </is>
      </c>
      <c r="K53" s="29" t="inlineStr">
        <is>
          <t>https://en.prnasia.com/releases/apac/as-homes-get-smarter-new-global-research-names-aiper-as-the-world-s-no-1-smart-robotic-pool-cleaner-brand-530066.shtml</t>
        </is>
      </c>
    </row>
    <row r="54">
      <c r="A54" s="28" t="inlineStr">
        <is>
          <t>3C</t>
        </is>
      </c>
      <c r="B54" s="28" t="inlineStr">
        <is>
          <t>美国</t>
        </is>
      </c>
      <c r="C54" s="28" t="inlineStr">
        <is>
          <t>未在底表中找到</t>
        </is>
      </c>
      <c r="D54" s="28" t="inlineStr">
        <is>
          <t>Shokz</t>
        </is>
      </c>
      <c r="E54" s="30" t="inlineStr">
        <is>
          <t>未在3C底表中找到（可能归属其他品类或品牌名不同）</t>
        </is>
      </c>
      <c r="F54" s="28" t="n">
        <v>4</v>
      </c>
      <c r="G54" s="28" t="inlineStr">
        <is>
          <t>$0.0M</t>
        </is>
      </c>
      <c r="H54" s="29" t="inlineStr">
        <is>
          <t>2026年以来共3次新品/发布事件。 [2026-01-16] 2026-01-16，Shokz官网CES 2026复盘披露OpenDots ONE及获奖产品现场关注度，官网存在和展会复盘可作为品牌信号。； [2026-01-06] 2026-01-06，Shokz发布OpenFit Pro，主打Open-Ear Noise Reduction，开放式音频进入降噪叙事。； [2026-01-05] 2026-01-05，Shokz获得多项2026 CES Innovation Awards，并预告1月6日发布新的开放式音频旗舰。；</t>
        </is>
      </c>
      <c r="I54" s="28" t="inlineStr">
        <is>
          <t>2026-01-16</t>
        </is>
      </c>
      <c r="J54" s="28" t="inlineStr">
        <is>
          <t>中</t>
        </is>
      </c>
      <c r="K54" s="29" t="inlineStr">
        <is>
          <t>https://shokz.com/blogs/news/shokz-at-ces-2026</t>
        </is>
      </c>
    </row>
    <row r="55">
      <c r="A55" s="28" t="inlineStr">
        <is>
          <t>3C</t>
        </is>
      </c>
      <c r="B55" s="28" t="inlineStr">
        <is>
          <t>美国</t>
        </is>
      </c>
      <c r="C55" s="28" t="inlineStr">
        <is>
          <t>未在底表中找到</t>
        </is>
      </c>
      <c r="D55" s="28" t="inlineStr">
        <is>
          <t>Ulike</t>
        </is>
      </c>
      <c r="E55" s="29" t="inlineStr">
        <is>
          <t>未在底表中找到</t>
        </is>
      </c>
      <c r="F55" s="28" t="n">
        <v>3</v>
      </c>
      <c r="G55" s="28" t="inlineStr">
        <is>
          <t>$0.0M</t>
        </is>
      </c>
      <c r="H55" s="29" t="inlineStr">
        <is>
          <t>2026年以来共2次新品/发布事件。 [2026-04-27] 2026-04-27，Ulike通过PRNewswire发布Santa Monica/New York线下wellness events，且称其在Amazon IPL品类表现领先。； [2026-03-10] 2026-03-10，Ulike发布Spring: Dare to Glow女性活动PR，属于品牌内容/线下活动信号。；</t>
        </is>
      </c>
      <c r="I55" s="28" t="inlineStr">
        <is>
          <t>2026-05-11</t>
        </is>
      </c>
      <c r="J55" s="28" t="inlineStr">
        <is>
          <t>中</t>
        </is>
      </c>
      <c r="K55" s="29" t="inlineStr">
        <is>
          <t>https://www.ulike.com/blogs/hair-removal/best-ipl-device-for-beginners-in-2026-easy-first-picks</t>
        </is>
      </c>
    </row>
    <row r="56">
      <c r="A56" s="28" t="inlineStr">
        <is>
          <t>3C</t>
        </is>
      </c>
      <c r="B56" s="28" t="inlineStr">
        <is>
          <t>美国</t>
        </is>
      </c>
      <c r="C56" s="28" t="inlineStr">
        <is>
          <t>未在底表中找到</t>
        </is>
      </c>
      <c r="D56" s="28" t="inlineStr">
        <is>
          <t>XREAL</t>
        </is>
      </c>
      <c r="E56" s="30" t="inlineStr">
        <is>
          <t>未在3C底表中找到（可能归属其他品类或品牌名不同）</t>
        </is>
      </c>
      <c r="F56" s="28" t="n">
        <v>1</v>
      </c>
      <c r="G56" s="28" t="inlineStr">
        <is>
          <t>$0.0M</t>
        </is>
      </c>
      <c r="H56" s="29" t="inlineStr">
        <is>
          <t>2026-01-16，IDC复盘CES 2026智能眼镜趋势，点名XREAL与Asus ROG合作推出240Hz智能眼镜，属于第三方行业验证。</t>
        </is>
      </c>
      <c r="I56" s="28" t="inlineStr">
        <is>
          <t>2026-01-16</t>
        </is>
      </c>
      <c r="J56" s="28" t="inlineStr">
        <is>
          <t>中</t>
        </is>
      </c>
      <c r="K56" s="29" t="inlineStr">
        <is>
          <t>https://www.idc.com/resource-center/blog/the-future-of-smart-glasses-was-on-full-display-at-ces-2026/</t>
        </is>
      </c>
    </row>
  </sheetData>
  <autoFilter ref="A1:K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2026-05-19T15:21:44Z</dcterms:created>
  <dcterms:modified xmlns:dcterms="http://purl.org/dc/terms/" xmlns:xsi="http://www.w3.org/2001/XMLSchema-instance" xsi:type="dcterms:W3CDTF">2026-05-19T15:26:49Z</dcterms:modified>
</cp:coreProperties>
</file>